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 stuff\repos\AutoMicSheets\AutoMicSheets\bin\Debug\"/>
    </mc:Choice>
  </mc:AlternateContent>
  <xr:revisionPtr revIDLastSave="0" documentId="13_ncr:1_{B7E4C47F-5461-4885-A217-DB3BE5CF49F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put" sheetId="3" r:id="rId1"/>
    <sheet name="Calculated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4" i="4" l="1"/>
  <c r="F44" i="4" s="1"/>
  <c r="D61" i="4"/>
  <c r="B61" i="4"/>
  <c r="J73" i="4"/>
  <c r="G61" i="4"/>
  <c r="B12" i="4"/>
  <c r="B14" i="4"/>
  <c r="B16" i="4"/>
  <c r="B72" i="4"/>
  <c r="C72" i="4"/>
  <c r="J55" i="4"/>
  <c r="J54" i="4"/>
  <c r="J53" i="4"/>
  <c r="J52" i="4"/>
  <c r="G56" i="3"/>
  <c r="G55" i="4"/>
  <c r="G54" i="4"/>
  <c r="G53" i="4"/>
  <c r="G52" i="4"/>
  <c r="G56" i="4" s="1"/>
  <c r="J56" i="4"/>
  <c r="G44" i="4"/>
  <c r="I45" i="4"/>
  <c r="H45" i="4"/>
  <c r="F45" i="4"/>
  <c r="E45" i="4"/>
  <c r="C45" i="4"/>
  <c r="J42" i="4"/>
  <c r="I42" i="4"/>
  <c r="H42" i="4"/>
  <c r="G42" i="4"/>
  <c r="F42" i="4"/>
  <c r="E42" i="4"/>
  <c r="B42" i="4"/>
  <c r="K43" i="4"/>
  <c r="J43" i="4"/>
  <c r="I43" i="4"/>
  <c r="H43" i="4"/>
  <c r="G43" i="4"/>
  <c r="D43" i="4"/>
  <c r="C43" i="4"/>
  <c r="B43" i="4"/>
  <c r="B78" i="4"/>
  <c r="B54" i="4"/>
  <c r="B79" i="4"/>
  <c r="F79" i="4"/>
  <c r="H74" i="4"/>
  <c r="G14" i="4"/>
  <c r="G12" i="4"/>
  <c r="D46" i="3"/>
  <c r="H70" i="4"/>
  <c r="H72" i="4"/>
  <c r="H69" i="4"/>
  <c r="H73" i="4"/>
  <c r="H71" i="4"/>
  <c r="B76" i="4"/>
  <c r="B75" i="4"/>
  <c r="E73" i="4"/>
  <c r="E70" i="4"/>
  <c r="D73" i="3"/>
  <c r="D72" i="3"/>
  <c r="D71" i="3"/>
  <c r="D70" i="3"/>
  <c r="C73" i="4"/>
  <c r="B73" i="4"/>
  <c r="C71" i="4"/>
  <c r="B71" i="4"/>
  <c r="C70" i="4"/>
  <c r="B70" i="4"/>
  <c r="F65" i="4"/>
  <c r="D65" i="4"/>
  <c r="I63" i="4"/>
  <c r="F63" i="4"/>
  <c r="J61" i="4"/>
  <c r="I60" i="4"/>
  <c r="F60" i="4"/>
  <c r="D60" i="4"/>
  <c r="B60" i="4"/>
  <c r="B53" i="4"/>
  <c r="B55" i="4"/>
  <c r="B52" i="4"/>
  <c r="B56" i="4" s="1"/>
  <c r="E62" i="4" s="1"/>
  <c r="D73" i="4"/>
  <c r="G62" i="4"/>
  <c r="E72" i="4"/>
  <c r="D72" i="4"/>
  <c r="E71" i="4"/>
  <c r="B56" i="3"/>
  <c r="E62" i="3" s="1"/>
  <c r="J56" i="3"/>
  <c r="G62" i="3"/>
  <c r="E43" i="4" l="1"/>
  <c r="C42" i="4"/>
  <c r="K42" i="4"/>
  <c r="J45" i="4"/>
  <c r="F43" i="4"/>
  <c r="D42" i="4"/>
  <c r="B45" i="4"/>
  <c r="K45" i="4"/>
  <c r="H44" i="4"/>
  <c r="G45" i="4"/>
  <c r="I44" i="4"/>
  <c r="J44" i="4"/>
  <c r="D45" i="4"/>
  <c r="B44" i="4"/>
  <c r="D44" i="4"/>
  <c r="C44" i="4"/>
  <c r="E44" i="4"/>
  <c r="D71" i="4"/>
  <c r="D46" i="4"/>
  <c r="C63" i="4" s="1"/>
  <c r="E64" i="4" s="1"/>
  <c r="K44" i="4"/>
  <c r="D70" i="4"/>
</calcChain>
</file>

<file path=xl/sharedStrings.xml><?xml version="1.0" encoding="utf-8"?>
<sst xmlns="http://schemas.openxmlformats.org/spreadsheetml/2006/main" count="239" uniqueCount="92">
  <si>
    <t>DOWNSTREAM TUBE</t>
  </si>
  <si>
    <t>LOCATION</t>
  </si>
  <si>
    <t>D</t>
  </si>
  <si>
    <t>E</t>
  </si>
  <si>
    <t>F</t>
  </si>
  <si>
    <t>H</t>
  </si>
  <si>
    <t>G</t>
  </si>
  <si>
    <t>UPSTREAM TUBE</t>
  </si>
  <si>
    <t>A</t>
  </si>
  <si>
    <t>V</t>
  </si>
  <si>
    <t>LV</t>
  </si>
  <si>
    <t>RV</t>
  </si>
  <si>
    <t>AVG.</t>
  </si>
  <si>
    <t xml:space="preserve"> </t>
  </si>
  <si>
    <t>(Dm)</t>
  </si>
  <si>
    <t>JOB # :</t>
  </si>
  <si>
    <t>CUST. PO :</t>
  </si>
  <si>
    <t>CUSTOMER :</t>
  </si>
  <si>
    <t>TUBE SN :</t>
  </si>
  <si>
    <t>Type :</t>
  </si>
  <si>
    <t>ANSI :</t>
  </si>
  <si>
    <t>Schedule :</t>
  </si>
  <si>
    <t>Pipe Heat # :</t>
  </si>
  <si>
    <t xml:space="preserve"> Reviewed By</t>
  </si>
  <si>
    <t>C</t>
  </si>
  <si>
    <t>B</t>
  </si>
  <si>
    <t>DATE:</t>
  </si>
  <si>
    <t>Comments:</t>
  </si>
  <si>
    <t>Calibrated By</t>
  </si>
  <si>
    <t>Size :</t>
  </si>
  <si>
    <t>Ftg. Mfg. :</t>
  </si>
  <si>
    <t>Meter Tube ID (Dm) :</t>
  </si>
  <si>
    <t>Actual ID Corrected to 68 Degrees Fahrenheit (Dr) :</t>
  </si>
  <si>
    <t xml:space="preserve">Plate Eccentricity : </t>
  </si>
  <si>
    <t>METER TUBE INSPECTION REPORT</t>
  </si>
  <si>
    <t>(STAMP Dr ON UPSTREAM FLANGE)</t>
  </si>
  <si>
    <t>Tap Hole Size:</t>
  </si>
  <si>
    <t>Tap Hole Loc:</t>
  </si>
  <si>
    <t xml:space="preserve">Tap Hole Seal Test: </t>
  </si>
  <si>
    <t>Seal Ring Protrusion:</t>
  </si>
  <si>
    <t>Upstream:</t>
  </si>
  <si>
    <t>Downstream:</t>
  </si>
  <si>
    <t>Circle B Measurement &amp; Fabrication</t>
  </si>
  <si>
    <t>(918) 445-4488  Office</t>
  </si>
  <si>
    <t>(918) 445-4468  Fax</t>
  </si>
  <si>
    <t>Internal Diameter Measurements</t>
  </si>
  <si>
    <t>Position</t>
  </si>
  <si>
    <t>Average</t>
  </si>
  <si>
    <t>Avg. Internal Surface Roughness Reading:</t>
  </si>
  <si>
    <t>Tap Hole</t>
  </si>
  <si>
    <t>Downstream</t>
  </si>
  <si>
    <t>Upstream</t>
  </si>
  <si>
    <t>Tap Hole Location Measurements</t>
  </si>
  <si>
    <t>Surface Roughness Measurements</t>
  </si>
  <si>
    <t>Overall Dim.</t>
  </si>
  <si>
    <t>Plate Thk.</t>
  </si>
  <si>
    <t>Primary Btm.</t>
  </si>
  <si>
    <t>Primary Top</t>
  </si>
  <si>
    <t>Telem. Btm.</t>
  </si>
  <si>
    <t>Telem. Top</t>
  </si>
  <si>
    <t>Perpendicular:</t>
  </si>
  <si>
    <t>Parallel:</t>
  </si>
  <si>
    <t>Tap Holes Burr Free:</t>
  </si>
  <si>
    <t>As Measured Start Temp :</t>
  </si>
  <si>
    <t>As Measured End Temp :</t>
  </si>
  <si>
    <t>Seat Gap Dimension:</t>
  </si>
  <si>
    <t>I</t>
  </si>
  <si>
    <t>J</t>
  </si>
  <si>
    <t>ADDITIONAL</t>
  </si>
  <si>
    <t xml:space="preserve">ADDITIONAL UPSTREAM </t>
  </si>
  <si>
    <t>Roundness Tolerance:</t>
  </si>
  <si>
    <t>Max-Min:</t>
  </si>
  <si>
    <t>Roy Murray</t>
  </si>
  <si>
    <t>14034 E Marshall St</t>
  </si>
  <si>
    <t>Tulsa, OK  74116</t>
  </si>
  <si>
    <t>If this test is performed using a "Stark" Go/No-Go Guage, Mark OK if Acceptable.</t>
  </si>
  <si>
    <t>2161 Coleman Circle</t>
  </si>
  <si>
    <t>Casper, WY   82601</t>
  </si>
  <si>
    <t>(307) 233-4460  Office</t>
  </si>
  <si>
    <t>Fitting Published ID :</t>
  </si>
  <si>
    <t>Bore Mic Calibration Ring Dia.</t>
  </si>
  <si>
    <t>Fitting Serial # :</t>
  </si>
  <si>
    <t>(Bore mic is set to the diameter listed above.)</t>
  </si>
  <si>
    <t>All Tulsa mic sheets are reviewed by Roy Murray.   All Casper mic sheets are reviewed by Matt Dye</t>
  </si>
  <si>
    <t>Pass</t>
  </si>
  <si>
    <t>2513 Renauna Ave</t>
  </si>
  <si>
    <t>OK</t>
  </si>
  <si>
    <t>Orifice Fitting Orientation</t>
  </si>
  <si>
    <t>Orientation</t>
  </si>
  <si>
    <t>Right</t>
  </si>
  <si>
    <t>Up</t>
  </si>
  <si>
    <t>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</si>
</sst>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m/d/yy;@"/>
    <numFmt numFmtId="166" formatCode="0.00000"/>
  </numFmts>
  <fonts count="11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u/>
      <sz val="10"/>
      <name val="Rockwell"/>
      <family val="1"/>
    </font>
    <font>
      <b/>
      <sz val="10"/>
      <name val="Rockwell"/>
      <family val="1"/>
    </font>
    <font>
      <sz val="10"/>
      <name val="Rockwell"/>
      <family val="1"/>
    </font>
    <font>
      <b/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sz val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22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0" fontId="4" fillId="0" borderId="0" xfId="0" applyFont="1" applyAlignment="1">
      <alignment horizontal="right"/>
    </xf>
    <xf numFmtId="0" fontId="0" fillId="0" borderId="5" xfId="0" applyBorder="1"/>
    <xf numFmtId="0" fontId="0" fillId="0" borderId="6" xfId="0" applyBorder="1"/>
    <xf numFmtId="0" fontId="1" fillId="0" borderId="8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164" fontId="1" fillId="0" borderId="8" xfId="0" applyNumberFormat="1" applyFont="1" applyBorder="1" applyAlignment="1" applyProtection="1">
      <alignment horizontal="center" wrapText="1"/>
      <protection locked="0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1" fillId="0" borderId="8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  <xf numFmtId="164" fontId="1" fillId="0" borderId="17" xfId="0" applyNumberFormat="1" applyFont="1" applyBorder="1" applyAlignment="1">
      <alignment horizontal="center" wrapText="1"/>
    </xf>
    <xf numFmtId="164" fontId="1" fillId="0" borderId="8" xfId="0" applyNumberFormat="1" applyFont="1" applyBorder="1" applyAlignment="1">
      <alignment horizontal="center" wrapText="1"/>
    </xf>
    <xf numFmtId="1" fontId="1" fillId="0" borderId="7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/>
    </xf>
    <xf numFmtId="0" fontId="4" fillId="0" borderId="5" xfId="0" applyFont="1" applyBorder="1" applyAlignment="1">
      <alignment horizontal="right"/>
    </xf>
    <xf numFmtId="0" fontId="4" fillId="0" borderId="5" xfId="0" applyFont="1" applyBorder="1"/>
    <xf numFmtId="0" fontId="5" fillId="0" borderId="5" xfId="0" applyFont="1" applyBorder="1"/>
    <xf numFmtId="0" fontId="0" fillId="0" borderId="13" xfId="0" applyBorder="1"/>
    <xf numFmtId="0" fontId="0" fillId="0" borderId="14" xfId="0" applyBorder="1"/>
    <xf numFmtId="0" fontId="0" fillId="0" borderId="19" xfId="0" applyBorder="1"/>
    <xf numFmtId="0" fontId="1" fillId="0" borderId="10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164" fontId="1" fillId="0" borderId="7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horizontal="center" vertical="center"/>
    </xf>
    <xf numFmtId="0" fontId="1" fillId="0" borderId="5" xfId="0" applyFont="1" applyBorder="1"/>
    <xf numFmtId="164" fontId="1" fillId="0" borderId="0" xfId="0" applyNumberFormat="1" applyFont="1"/>
    <xf numFmtId="164" fontId="1" fillId="0" borderId="0" xfId="0" applyNumberFormat="1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1" fontId="6" fillId="0" borderId="8" xfId="0" applyNumberFormat="1" applyFont="1" applyBorder="1" applyAlignment="1">
      <alignment horizontal="center"/>
    </xf>
    <xf numFmtId="1" fontId="6" fillId="4" borderId="8" xfId="0" applyNumberFormat="1" applyFont="1" applyFill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" fontId="6" fillId="4" borderId="9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12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right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/>
    <xf numFmtId="0" fontId="1" fillId="0" borderId="10" xfId="0" applyFont="1" applyBorder="1" applyAlignment="1">
      <alignment horizontal="center"/>
    </xf>
    <xf numFmtId="49" fontId="1" fillId="0" borderId="15" xfId="0" applyNumberFormat="1" applyFont="1" applyBorder="1" applyAlignment="1">
      <alignment horizontal="center" wrapText="1"/>
    </xf>
    <xf numFmtId="49" fontId="1" fillId="0" borderId="16" xfId="0" applyNumberFormat="1" applyFont="1" applyBorder="1" applyAlignment="1">
      <alignment horizontal="center" wrapText="1"/>
    </xf>
    <xf numFmtId="0" fontId="6" fillId="0" borderId="20" xfId="0" applyFont="1" applyBorder="1"/>
    <xf numFmtId="49" fontId="1" fillId="0" borderId="21" xfId="0" applyNumberFormat="1" applyFont="1" applyBorder="1" applyAlignment="1">
      <alignment wrapText="1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13" xfId="0" applyFont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5" fillId="0" borderId="0" xfId="0" applyFont="1"/>
    <xf numFmtId="1" fontId="6" fillId="0" borderId="12" xfId="0" applyNumberFormat="1" applyFont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164" fontId="1" fillId="0" borderId="12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1" fillId="0" borderId="17" xfId="0" applyFont="1" applyBorder="1" applyAlignment="1">
      <alignment horizontal="right"/>
    </xf>
    <xf numFmtId="0" fontId="0" fillId="0" borderId="23" xfId="0" applyBorder="1"/>
    <xf numFmtId="1" fontId="1" fillId="0" borderId="9" xfId="0" applyNumberFormat="1" applyFont="1" applyBorder="1" applyAlignment="1" applyProtection="1">
      <alignment horizontal="center" vertical="center"/>
      <protection locked="0"/>
    </xf>
    <xf numFmtId="166" fontId="0" fillId="0" borderId="0" xfId="0" applyNumberFormat="1"/>
    <xf numFmtId="0" fontId="1" fillId="0" borderId="24" xfId="0" applyFont="1" applyBorder="1"/>
    <xf numFmtId="0" fontId="0" fillId="0" borderId="18" xfId="0" applyBorder="1"/>
    <xf numFmtId="0" fontId="0" fillId="0" borderId="30" xfId="0" applyBorder="1" applyAlignment="1">
      <alignment horizontal="center"/>
    </xf>
    <xf numFmtId="0" fontId="1" fillId="0" borderId="22" xfId="0" applyFont="1" applyBorder="1"/>
    <xf numFmtId="0" fontId="0" fillId="0" borderId="1" xfId="0" applyBorder="1"/>
    <xf numFmtId="0" fontId="1" fillId="6" borderId="14" xfId="0" applyFont="1" applyFill="1" applyBorder="1"/>
    <xf numFmtId="0" fontId="1" fillId="6" borderId="14" xfId="0" applyFont="1" applyFill="1" applyBorder="1" applyAlignment="1">
      <alignment horizontal="center"/>
    </xf>
    <xf numFmtId="0" fontId="6" fillId="0" borderId="0" xfId="0" applyFont="1"/>
    <xf numFmtId="49" fontId="1" fillId="0" borderId="1" xfId="0" applyNumberFormat="1" applyFont="1" applyBorder="1" applyAlignment="1">
      <alignment wrapText="1"/>
    </xf>
    <xf numFmtId="0" fontId="0" fillId="0" borderId="6" xfId="0" applyBorder="1" applyAlignment="1" applyProtection="1">
      <alignment horizontal="center"/>
      <protection locked="0"/>
    </xf>
    <xf numFmtId="0" fontId="1" fillId="0" borderId="23" xfId="0" applyFont="1" applyBorder="1" applyAlignment="1" applyProtection="1">
      <alignment horizontal="center"/>
      <protection locked="0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6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6" xfId="0" applyFont="1" applyBorder="1" applyAlignment="1">
      <alignment horizontal="center"/>
    </xf>
    <xf numFmtId="0" fontId="7" fillId="0" borderId="2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7" fillId="0" borderId="2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165" fontId="1" fillId="0" borderId="1" xfId="0" applyNumberFormat="1" applyFont="1" applyBorder="1" applyAlignment="1" applyProtection="1">
      <alignment horizontal="center"/>
      <protection locked="0"/>
    </xf>
    <xf numFmtId="165" fontId="0" fillId="0" borderId="1" xfId="0" applyNumberFormat="1" applyBorder="1" applyAlignment="1" applyProtection="1">
      <alignment horizontal="center"/>
      <protection locked="0"/>
    </xf>
    <xf numFmtId="49" fontId="0" fillId="0" borderId="0" xfId="0" applyNumberFormat="1" applyAlignment="1">
      <alignment horizontal="left"/>
    </xf>
    <xf numFmtId="0" fontId="6" fillId="0" borderId="25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164" fontId="1" fillId="2" borderId="24" xfId="0" applyNumberFormat="1" applyFont="1" applyFill="1" applyBorder="1" applyAlignment="1">
      <alignment horizontal="center"/>
    </xf>
    <xf numFmtId="164" fontId="1" fillId="2" borderId="18" xfId="0" applyNumberFormat="1" applyFont="1" applyFill="1" applyBorder="1" applyAlignment="1">
      <alignment horizontal="center"/>
    </xf>
    <xf numFmtId="164" fontId="1" fillId="2" borderId="30" xfId="0" applyNumberFormat="1" applyFont="1" applyFill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64" fontId="1" fillId="2" borderId="12" xfId="0" applyNumberFormat="1" applyFont="1" applyFill="1" applyBorder="1"/>
    <xf numFmtId="0" fontId="1" fillId="2" borderId="12" xfId="0" applyFont="1" applyFill="1" applyBorder="1"/>
    <xf numFmtId="0" fontId="1" fillId="0" borderId="12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2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1" fillId="0" borderId="12" xfId="0" applyFont="1" applyBorder="1" applyAlignment="1" applyProtection="1">
      <alignment horizontal="center"/>
      <protection locked="0"/>
    </xf>
    <xf numFmtId="0" fontId="1" fillId="0" borderId="37" xfId="0" applyFont="1" applyBorder="1" applyAlignment="1" applyProtection="1">
      <alignment horizontal="center"/>
      <protection locked="0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1" xfId="0" applyFont="1" applyBorder="1" applyAlignment="1" applyProtection="1">
      <alignment horizontal="left" wrapText="1"/>
      <protection locked="0"/>
    </xf>
    <xf numFmtId="0" fontId="1" fillId="0" borderId="21" xfId="0" applyFont="1" applyBorder="1" applyAlignment="1" applyProtection="1">
      <alignment horizontal="left" wrapText="1"/>
      <protection locked="0"/>
    </xf>
    <xf numFmtId="0" fontId="1" fillId="0" borderId="2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28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22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5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2" fillId="0" borderId="18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8" xfId="0" applyFont="1" applyBorder="1" applyAlignment="1" applyProtection="1">
      <alignment horizontal="left" wrapText="1"/>
      <protection locked="0"/>
    </xf>
    <xf numFmtId="0" fontId="2" fillId="0" borderId="1" xfId="0" applyFont="1" applyBorder="1" applyAlignment="1" applyProtection="1">
      <alignment horizontal="left" wrapText="1"/>
      <protection locked="0"/>
    </xf>
    <xf numFmtId="0" fontId="1" fillId="0" borderId="18" xfId="0" applyFont="1" applyBorder="1" applyAlignment="1" applyProtection="1">
      <alignment horizontal="center" vertical="center"/>
      <protection locked="0"/>
    </xf>
    <xf numFmtId="0" fontId="6" fillId="0" borderId="34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10" fillId="0" borderId="41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0" borderId="39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0" fontId="1" fillId="0" borderId="21" xfId="0" applyFont="1" applyBorder="1" applyAlignment="1">
      <alignment horizontal="left" wrapText="1"/>
    </xf>
    <xf numFmtId="0" fontId="2" fillId="0" borderId="18" xfId="0" applyFont="1" applyBorder="1" applyAlignment="1">
      <alignment horizontal="left" wrapText="1"/>
    </xf>
    <xf numFmtId="0" fontId="2" fillId="0" borderId="1" xfId="0" applyFont="1" applyBorder="1" applyAlignment="1">
      <alignment horizontal="left" wrapText="1"/>
    </xf>
    <xf numFmtId="0" fontId="2" fillId="0" borderId="18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</cellXfs>
  <cellStyles count="1">
    <cellStyle name="Normal" xfId="0" builtinId="0"/>
  </cellStyles>
  <dxfs count="16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FF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9526</xdr:colOff>
      <xdr:row>1</xdr:row>
      <xdr:rowOff>38100</xdr:rowOff>
    </xdr:from>
    <xdr:to>
      <xdr:col>6</xdr:col>
      <xdr:colOff>813441</xdr:colOff>
      <xdr:row>7</xdr:row>
      <xdr:rowOff>47625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71851" y="200025"/>
          <a:ext cx="2480315" cy="98107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8</xdr:col>
      <xdr:colOff>152402</xdr:colOff>
      <xdr:row>21</xdr:row>
      <xdr:rowOff>9525</xdr:rowOff>
    </xdr:from>
    <xdr:to>
      <xdr:col>10</xdr:col>
      <xdr:colOff>774290</xdr:colOff>
      <xdr:row>33</xdr:row>
      <xdr:rowOff>76200</xdr:rowOff>
    </xdr:to>
    <xdr:grpSp>
      <xdr:nvGrpSpPr>
        <xdr:cNvPr id="22633" name="Group 22529">
          <a:extLst>
            <a:ext uri="{FF2B5EF4-FFF2-40B4-BE49-F238E27FC236}">
              <a16:creationId xmlns:a16="http://schemas.microsoft.com/office/drawing/2014/main" id="{00000000-0008-0000-0000-000069580000}"/>
            </a:ext>
          </a:extLst>
        </xdr:cNvPr>
        <xdr:cNvGrpSpPr>
          <a:grpSpLocks/>
        </xdr:cNvGrpSpPr>
      </xdr:nvGrpSpPr>
      <xdr:grpSpPr bwMode="auto">
        <a:xfrm>
          <a:off x="6800852" y="3419475"/>
          <a:ext cx="2336388" cy="2009775"/>
          <a:chOff x="11139391" y="3611157"/>
          <a:chExt cx="2316042" cy="2124872"/>
        </a:xfrm>
      </xdr:grpSpPr>
      <xdr:sp macro="" textlink="">
        <xdr:nvSpPr>
          <xdr:cNvPr id="2" name="Oval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 bwMode="auto">
          <a:xfrm>
            <a:off x="11545399" y="4074399"/>
            <a:ext cx="1680686" cy="1661630"/>
          </a:xfrm>
          <a:prstGeom prst="ellipse">
            <a:avLst/>
          </a:prstGeom>
          <a:ln>
            <a:headEnd type="none" w="med" len="med"/>
            <a:tailEnd type="none" w="med" len="med"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22636" name="Oval 2">
            <a:extLst>
              <a:ext uri="{FF2B5EF4-FFF2-40B4-BE49-F238E27FC236}">
                <a16:creationId xmlns:a16="http://schemas.microsoft.com/office/drawing/2014/main" id="{00000000-0008-0000-0000-00006C580000}"/>
              </a:ext>
            </a:extLst>
          </xdr:cNvPr>
          <xdr:cNvSpPr>
            <a:spLocks noChangeArrowheads="1"/>
          </xdr:cNvSpPr>
        </xdr:nvSpPr>
        <xdr:spPr bwMode="auto">
          <a:xfrm>
            <a:off x="11646106" y="4175538"/>
            <a:ext cx="1475014" cy="1456831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637" name="Straight Arrow Connector 8">
            <a:extLst>
              <a:ext uri="{FF2B5EF4-FFF2-40B4-BE49-F238E27FC236}">
                <a16:creationId xmlns:a16="http://schemas.microsoft.com/office/drawing/2014/main" id="{00000000-0008-0000-0000-00006D58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2384974" y="4903396"/>
            <a:ext cx="0" cy="728973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638" name="Straight Arrow Connector 14">
            <a:extLst>
              <a:ext uri="{FF2B5EF4-FFF2-40B4-BE49-F238E27FC236}">
                <a16:creationId xmlns:a16="http://schemas.microsoft.com/office/drawing/2014/main" id="{00000000-0008-0000-0000-00006E580000}"/>
              </a:ext>
            </a:extLst>
          </xdr:cNvPr>
          <xdr:cNvCxnSpPr>
            <a:cxnSpLocks noChangeShapeType="1"/>
            <a:endCxn id="22636" idx="2"/>
          </xdr:cNvCxnSpPr>
        </xdr:nvCxnSpPr>
        <xdr:spPr bwMode="auto">
          <a:xfrm flipH="1">
            <a:off x="11646106" y="4903396"/>
            <a:ext cx="748393" cy="1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639" name="Straight Arrow Connector 23">
            <a:extLst>
              <a:ext uri="{FF2B5EF4-FFF2-40B4-BE49-F238E27FC236}">
                <a16:creationId xmlns:a16="http://schemas.microsoft.com/office/drawing/2014/main" id="{00000000-0008-0000-0000-00006F580000}"/>
              </a:ext>
            </a:extLst>
          </xdr:cNvPr>
          <xdr:cNvCxnSpPr>
            <a:cxnSpLocks noChangeShapeType="1"/>
            <a:endCxn id="22636" idx="0"/>
          </xdr:cNvCxnSpPr>
        </xdr:nvCxnSpPr>
        <xdr:spPr bwMode="auto">
          <a:xfrm flipV="1">
            <a:off x="12382500" y="4175538"/>
            <a:ext cx="1113" cy="741589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640" name="Straight Arrow Connector 25">
            <a:extLst>
              <a:ext uri="{FF2B5EF4-FFF2-40B4-BE49-F238E27FC236}">
                <a16:creationId xmlns:a16="http://schemas.microsoft.com/office/drawing/2014/main" id="{00000000-0008-0000-0000-000070580000}"/>
              </a:ext>
            </a:extLst>
          </xdr:cNvPr>
          <xdr:cNvCxnSpPr>
            <a:cxnSpLocks noChangeShapeType="1"/>
            <a:endCxn id="22636" idx="5"/>
          </xdr:cNvCxnSpPr>
        </xdr:nvCxnSpPr>
        <xdr:spPr bwMode="auto">
          <a:xfrm>
            <a:off x="12376315" y="4898571"/>
            <a:ext cx="528794" cy="5204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641" name="Straight Arrow Connector 27">
            <a:extLst>
              <a:ext uri="{FF2B5EF4-FFF2-40B4-BE49-F238E27FC236}">
                <a16:creationId xmlns:a16="http://schemas.microsoft.com/office/drawing/2014/main" id="{00000000-0008-0000-0000-000071580000}"/>
              </a:ext>
            </a:extLst>
          </xdr:cNvPr>
          <xdr:cNvCxnSpPr>
            <a:cxnSpLocks noChangeShapeType="1"/>
            <a:endCxn id="22636" idx="3"/>
          </xdr:cNvCxnSpPr>
        </xdr:nvCxnSpPr>
        <xdr:spPr bwMode="auto">
          <a:xfrm flipH="1">
            <a:off x="11862117" y="4898571"/>
            <a:ext cx="520383" cy="5204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642" name="Straight Arrow Connector 29">
            <a:extLst>
              <a:ext uri="{FF2B5EF4-FFF2-40B4-BE49-F238E27FC236}">
                <a16:creationId xmlns:a16="http://schemas.microsoft.com/office/drawing/2014/main" id="{00000000-0008-0000-0000-000072580000}"/>
              </a:ext>
            </a:extLst>
          </xdr:cNvPr>
          <xdr:cNvCxnSpPr>
            <a:cxnSpLocks noChangeShapeType="1"/>
            <a:endCxn id="22636" idx="1"/>
          </xdr:cNvCxnSpPr>
        </xdr:nvCxnSpPr>
        <xdr:spPr bwMode="auto">
          <a:xfrm flipH="1" flipV="1">
            <a:off x="11862117" y="4388886"/>
            <a:ext cx="520383" cy="51587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643" name="Straight Arrow Connector 22527">
            <a:extLst>
              <a:ext uri="{FF2B5EF4-FFF2-40B4-BE49-F238E27FC236}">
                <a16:creationId xmlns:a16="http://schemas.microsoft.com/office/drawing/2014/main" id="{00000000-0008-0000-0000-000073580000}"/>
              </a:ext>
            </a:extLst>
          </xdr:cNvPr>
          <xdr:cNvCxnSpPr>
            <a:cxnSpLocks noChangeShapeType="1"/>
            <a:endCxn id="22636" idx="7"/>
          </xdr:cNvCxnSpPr>
        </xdr:nvCxnSpPr>
        <xdr:spPr bwMode="auto">
          <a:xfrm flipV="1">
            <a:off x="12376315" y="4388886"/>
            <a:ext cx="528794" cy="50968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2529" name="TextBox 22528">
            <a:extLst>
              <a:ext uri="{FF2B5EF4-FFF2-40B4-BE49-F238E27FC236}">
                <a16:creationId xmlns:a16="http://schemas.microsoft.com/office/drawing/2014/main" id="{00000000-0008-0000-0000-000001580000}"/>
              </a:ext>
            </a:extLst>
          </xdr:cNvPr>
          <xdr:cNvSpPr txBox="1"/>
        </xdr:nvSpPr>
        <xdr:spPr>
          <a:xfrm>
            <a:off x="12225227" y="3611157"/>
            <a:ext cx="327343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V</a:t>
            </a:r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12990034" y="3983765"/>
            <a:ext cx="465399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RV</a:t>
            </a: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 txBox="1"/>
        </xdr:nvSpPr>
        <xdr:spPr>
          <a:xfrm>
            <a:off x="11290464" y="3953553"/>
            <a:ext cx="434254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LV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1139391" y="4698769"/>
            <a:ext cx="341453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H</a:t>
            </a:r>
          </a:p>
        </xdr:txBody>
      </xdr:sp>
    </xdr:grpSp>
    <xdr:clientData/>
  </xdr:twoCellAnchor>
  <xdr:twoCellAnchor>
    <xdr:from>
      <xdr:col>9</xdr:col>
      <xdr:colOff>542925</xdr:colOff>
      <xdr:row>28</xdr:row>
      <xdr:rowOff>85725</xdr:rowOff>
    </xdr:from>
    <xdr:to>
      <xdr:col>10</xdr:col>
      <xdr:colOff>437040</xdr:colOff>
      <xdr:row>28</xdr:row>
      <xdr:rowOff>98820</xdr:rowOff>
    </xdr:to>
    <xdr:cxnSp macro="">
      <xdr:nvCxnSpPr>
        <xdr:cNvPr id="22634" name="Straight Arrow Connector 19">
          <a:extLst>
            <a:ext uri="{FF2B5EF4-FFF2-40B4-BE49-F238E27FC236}">
              <a16:creationId xmlns:a16="http://schemas.microsoft.com/office/drawing/2014/main" id="{00000000-0008-0000-0000-00006A580000}"/>
            </a:ext>
          </a:extLst>
        </xdr:cNvPr>
        <xdr:cNvCxnSpPr>
          <a:cxnSpLocks noChangeShapeType="1"/>
          <a:endCxn id="22636" idx="6"/>
        </xdr:cNvCxnSpPr>
      </xdr:nvCxnSpPr>
      <xdr:spPr bwMode="auto">
        <a:xfrm>
          <a:off x="8048625" y="4629150"/>
          <a:ext cx="751365" cy="1309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0</xdr:col>
      <xdr:colOff>438152</xdr:colOff>
      <xdr:row>17</xdr:row>
      <xdr:rowOff>45876</xdr:rowOff>
    </xdr:from>
    <xdr:to>
      <xdr:col>8</xdr:col>
      <xdr:colOff>123826</xdr:colOff>
      <xdr:row>36</xdr:row>
      <xdr:rowOff>142875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2" y="2808126"/>
          <a:ext cx="6334124" cy="31735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65</xdr:row>
          <xdr:rowOff>9525</xdr:rowOff>
        </xdr:from>
        <xdr:to>
          <xdr:col>9</xdr:col>
          <xdr:colOff>828675</xdr:colOff>
          <xdr:row>66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Roundness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9</xdr:col>
      <xdr:colOff>28575</xdr:colOff>
      <xdr:row>66</xdr:row>
      <xdr:rowOff>28574</xdr:rowOff>
    </xdr:from>
    <xdr:to>
      <xdr:col>10</xdr:col>
      <xdr:colOff>180975</xdr:colOff>
      <xdr:row>78</xdr:row>
      <xdr:rowOff>152399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534275" y="11029949"/>
          <a:ext cx="1009650" cy="2238375"/>
        </a:xfrm>
        <a:prstGeom prst="rect">
          <a:avLst/>
        </a:prstGeom>
        <a:solidFill>
          <a:schemeClr val="accent6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When this page is completed,  and reviewing "Calculated" page, press the "Roundness" button to confirm</a:t>
          </a:r>
          <a:r>
            <a:rPr lang="en-US" sz="1100" baseline="0"/>
            <a:t> all cells state "Pass".</a:t>
          </a:r>
          <a:endParaRPr lang="en-US" sz="1100"/>
        </a:p>
      </xdr:txBody>
    </xdr:sp>
    <xdr:clientData/>
  </xdr:twoCellAnchor>
  <xdr:twoCellAnchor>
    <xdr:from>
      <xdr:col>8</xdr:col>
      <xdr:colOff>0</xdr:colOff>
      <xdr:row>64</xdr:row>
      <xdr:rowOff>19050</xdr:rowOff>
    </xdr:from>
    <xdr:to>
      <xdr:col>10</xdr:col>
      <xdr:colOff>790575</xdr:colOff>
      <xdr:row>64</xdr:row>
      <xdr:rowOff>180975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648450" y="10620375"/>
          <a:ext cx="2505075" cy="161925"/>
        </a:xfrm>
        <a:prstGeom prst="rect">
          <a:avLst/>
        </a:prstGeom>
        <a:solidFill>
          <a:schemeClr val="accent6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Only 1 size of calibration ring available.</a:t>
          </a:r>
        </a:p>
      </xdr:txBody>
    </xdr:sp>
    <xdr:clientData/>
  </xdr:twoCellAnchor>
  <xdr:twoCellAnchor>
    <xdr:from>
      <xdr:col>11</xdr:col>
      <xdr:colOff>200025</xdr:colOff>
      <xdr:row>62</xdr:row>
      <xdr:rowOff>171450</xdr:rowOff>
    </xdr:from>
    <xdr:to>
      <xdr:col>14</xdr:col>
      <xdr:colOff>485775</xdr:colOff>
      <xdr:row>68</xdr:row>
      <xdr:rowOff>95250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420225" y="10372725"/>
          <a:ext cx="2257425" cy="1123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Instances where a calibration ring is not available,</a:t>
          </a:r>
          <a:r>
            <a:rPr lang="en-US" sz="1100" baseline="0"/>
            <a:t> we will use another measurement tool to set the bore mic, and then list the set value in the location identified as  "Bore Mic Calibration Ring Dia.".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152402</xdr:colOff>
      <xdr:row>21</xdr:row>
      <xdr:rowOff>9525</xdr:rowOff>
    </xdr:from>
    <xdr:to>
      <xdr:col>10</xdr:col>
      <xdr:colOff>774290</xdr:colOff>
      <xdr:row>33</xdr:row>
      <xdr:rowOff>76200</xdr:rowOff>
    </xdr:to>
    <xdr:grpSp>
      <xdr:nvGrpSpPr>
        <xdr:cNvPr id="3" name="Group 2252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>
          <a:grpSpLocks/>
        </xdr:cNvGrpSpPr>
      </xdr:nvGrpSpPr>
      <xdr:grpSpPr bwMode="auto">
        <a:xfrm>
          <a:off x="6800852" y="3419475"/>
          <a:ext cx="2336388" cy="2009775"/>
          <a:chOff x="11139391" y="3611157"/>
          <a:chExt cx="2316042" cy="2124872"/>
        </a:xfrm>
      </xdr:grpSpPr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 bwMode="auto">
          <a:xfrm>
            <a:off x="11545399" y="4074399"/>
            <a:ext cx="1680686" cy="1661630"/>
          </a:xfrm>
          <a:prstGeom prst="ellipse">
            <a:avLst/>
          </a:prstGeom>
          <a:ln>
            <a:headEnd type="none" w="med" len="med"/>
            <a:tailEnd type="none" w="med" len="med"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5" name="Oval 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1646106" y="4175538"/>
            <a:ext cx="1475014" cy="1456831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6" name="Straight Arrow Connector 8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2384974" y="4903396"/>
            <a:ext cx="0" cy="728973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" name="Straight Arrow Connector 14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>
            <a:cxnSpLocks noChangeShapeType="1"/>
            <a:endCxn id="5" idx="2"/>
          </xdr:cNvCxnSpPr>
        </xdr:nvCxnSpPr>
        <xdr:spPr bwMode="auto">
          <a:xfrm flipH="1">
            <a:off x="11646106" y="4903396"/>
            <a:ext cx="748393" cy="1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" name="Straight Arrow Connector 23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>
            <a:cxnSpLocks noChangeShapeType="1"/>
            <a:endCxn id="5" idx="0"/>
          </xdr:cNvCxnSpPr>
        </xdr:nvCxnSpPr>
        <xdr:spPr bwMode="auto">
          <a:xfrm flipV="1">
            <a:off x="12382500" y="4175538"/>
            <a:ext cx="1113" cy="741589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" name="Straight Arrow Connector 25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>
            <a:cxnSpLocks noChangeShapeType="1"/>
            <a:endCxn id="5" idx="5"/>
          </xdr:cNvCxnSpPr>
        </xdr:nvCxnSpPr>
        <xdr:spPr bwMode="auto">
          <a:xfrm>
            <a:off x="12376315" y="4898571"/>
            <a:ext cx="528794" cy="5204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" name="Straight Arrow Connector 27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>
            <a:cxnSpLocks noChangeShapeType="1"/>
            <a:endCxn id="5" idx="3"/>
          </xdr:cNvCxnSpPr>
        </xdr:nvCxnSpPr>
        <xdr:spPr bwMode="auto">
          <a:xfrm flipH="1">
            <a:off x="11862117" y="4898571"/>
            <a:ext cx="520383" cy="5204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" name="Straight Arrow Connector 29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>
            <a:cxnSpLocks noChangeShapeType="1"/>
            <a:endCxn id="5" idx="1"/>
          </xdr:cNvCxnSpPr>
        </xdr:nvCxnSpPr>
        <xdr:spPr bwMode="auto">
          <a:xfrm flipH="1" flipV="1">
            <a:off x="11862117" y="4388886"/>
            <a:ext cx="520383" cy="51587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" name="Straight Arrow Connector 22527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CxnSpPr>
            <a:cxnSpLocks noChangeShapeType="1"/>
            <a:endCxn id="5" idx="7"/>
          </xdr:cNvCxnSpPr>
        </xdr:nvCxnSpPr>
        <xdr:spPr bwMode="auto">
          <a:xfrm flipV="1">
            <a:off x="12376315" y="4388886"/>
            <a:ext cx="528794" cy="50968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2225227" y="3611157"/>
            <a:ext cx="327343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V</a:t>
            </a: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2990034" y="3983765"/>
            <a:ext cx="465399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RV</a:t>
            </a: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1290464" y="3953553"/>
            <a:ext cx="434254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LV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 txBox="1"/>
        </xdr:nvSpPr>
        <xdr:spPr>
          <a:xfrm>
            <a:off x="11139391" y="4698769"/>
            <a:ext cx="341453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H</a:t>
            </a:r>
          </a:p>
        </xdr:txBody>
      </xdr:sp>
    </xdr:grpSp>
    <xdr:clientData/>
  </xdr:twoCellAnchor>
  <xdr:twoCellAnchor>
    <xdr:from>
      <xdr:col>9</xdr:col>
      <xdr:colOff>542925</xdr:colOff>
      <xdr:row>28</xdr:row>
      <xdr:rowOff>85725</xdr:rowOff>
    </xdr:from>
    <xdr:to>
      <xdr:col>10</xdr:col>
      <xdr:colOff>437040</xdr:colOff>
      <xdr:row>28</xdr:row>
      <xdr:rowOff>98820</xdr:rowOff>
    </xdr:to>
    <xdr:cxnSp macro="">
      <xdr:nvCxnSpPr>
        <xdr:cNvPr id="17" name="Straight Arrow Connector 19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>
          <a:cxnSpLocks noChangeShapeType="1"/>
          <a:endCxn id="5" idx="6"/>
        </xdr:cNvCxnSpPr>
      </xdr:nvCxnSpPr>
      <xdr:spPr bwMode="auto">
        <a:xfrm>
          <a:off x="8048625" y="4629150"/>
          <a:ext cx="751365" cy="1309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65</xdr:row>
          <xdr:rowOff>9525</xdr:rowOff>
        </xdr:from>
        <xdr:to>
          <xdr:col>9</xdr:col>
          <xdr:colOff>828675</xdr:colOff>
          <xdr:row>66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Roundness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4</xdr:col>
      <xdr:colOff>9526</xdr:colOff>
      <xdr:row>1</xdr:row>
      <xdr:rowOff>38100</xdr:rowOff>
    </xdr:from>
    <xdr:to>
      <xdr:col>6</xdr:col>
      <xdr:colOff>813441</xdr:colOff>
      <xdr:row>7</xdr:row>
      <xdr:rowOff>47625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71851" y="200025"/>
          <a:ext cx="2480315" cy="98107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0</xdr:col>
      <xdr:colOff>419101</xdr:colOff>
      <xdr:row>17</xdr:row>
      <xdr:rowOff>85724</xdr:rowOff>
    </xdr:from>
    <xdr:to>
      <xdr:col>7</xdr:col>
      <xdr:colOff>733655</xdr:colOff>
      <xdr:row>36</xdr:row>
      <xdr:rowOff>104774</xdr:rowOff>
    </xdr:to>
    <xdr:grpSp>
      <xdr:nvGrpSpPr>
        <xdr:cNvPr id="23" name="Group 3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>
          <a:grpSpLocks noChangeAspect="1"/>
        </xdr:cNvGrpSpPr>
      </xdr:nvGrpSpPr>
      <xdr:grpSpPr bwMode="auto">
        <a:xfrm>
          <a:off x="419101" y="2847974"/>
          <a:ext cx="6181954" cy="3095625"/>
          <a:chOff x="64" y="34"/>
          <a:chExt cx="665" cy="333"/>
        </a:xfrm>
      </xdr:grpSpPr>
      <xdr:sp macro="" textlink="">
        <xdr:nvSpPr>
          <xdr:cNvPr id="24" name="AutoShape 2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64" y="34"/>
            <a:ext cx="665" cy="3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-20000" contrast="55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" y="34"/>
            <a:ext cx="665" cy="3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N81"/>
  <sheetViews>
    <sheetView tabSelected="1" topLeftCell="A39" zoomScaleNormal="100" workbookViewId="0">
      <selection activeCell="I60" sqref="I60"/>
    </sheetView>
  </sheetViews>
  <sheetFormatPr defaultRowHeight="12.75" x14ac:dyDescent="0.2"/>
  <cols>
    <col min="1" max="2" width="12" customWidth="1"/>
    <col min="3" max="3" width="13.85546875" customWidth="1"/>
    <col min="4" max="6" width="12.5703125" customWidth="1"/>
    <col min="7" max="7" width="12.42578125" customWidth="1"/>
    <col min="8" max="8" width="11.7109375" customWidth="1"/>
    <col min="9" max="11" width="12.85546875" customWidth="1"/>
    <col min="13" max="13" width="10.85546875" customWidth="1"/>
    <col min="14" max="14" width="9.5703125" bestFit="1" customWidth="1"/>
  </cols>
  <sheetData>
    <row r="1" spans="1:11" x14ac:dyDescent="0.2">
      <c r="A1" s="75"/>
      <c r="B1" s="76"/>
      <c r="C1" s="76"/>
      <c r="D1" s="76"/>
      <c r="E1" s="76"/>
      <c r="F1" s="76"/>
      <c r="G1" s="76"/>
      <c r="H1" s="76"/>
      <c r="I1" s="76"/>
      <c r="J1" s="76"/>
      <c r="K1" s="77"/>
    </row>
    <row r="2" spans="1:11" x14ac:dyDescent="0.2">
      <c r="A2" s="98" t="s">
        <v>42</v>
      </c>
      <c r="B2" s="99"/>
      <c r="C2" s="99"/>
      <c r="E2" s="82"/>
      <c r="F2" s="82"/>
      <c r="G2" s="78"/>
      <c r="I2" s="99" t="s">
        <v>42</v>
      </c>
      <c r="J2" s="99"/>
      <c r="K2" s="100"/>
    </row>
    <row r="3" spans="1:11" x14ac:dyDescent="0.2">
      <c r="A3" s="98" t="s">
        <v>73</v>
      </c>
      <c r="B3" s="99"/>
      <c r="C3" s="99"/>
      <c r="G3" s="78"/>
      <c r="I3" s="99" t="s">
        <v>85</v>
      </c>
      <c r="J3" s="99"/>
      <c r="K3" s="100"/>
    </row>
    <row r="4" spans="1:11" x14ac:dyDescent="0.2">
      <c r="A4" s="98" t="s">
        <v>74</v>
      </c>
      <c r="B4" s="99"/>
      <c r="C4" s="99"/>
      <c r="I4" s="99" t="s">
        <v>77</v>
      </c>
      <c r="J4" s="99"/>
      <c r="K4" s="100"/>
    </row>
    <row r="5" spans="1:11" x14ac:dyDescent="0.2">
      <c r="A5" s="98" t="s">
        <v>43</v>
      </c>
      <c r="B5" s="99"/>
      <c r="C5" s="99"/>
      <c r="I5" s="99" t="s">
        <v>78</v>
      </c>
      <c r="J5" s="99"/>
      <c r="K5" s="100"/>
    </row>
    <row r="6" spans="1:11" x14ac:dyDescent="0.2">
      <c r="A6" s="98" t="s">
        <v>44</v>
      </c>
      <c r="B6" s="99"/>
      <c r="C6" s="99"/>
      <c r="K6" s="7"/>
    </row>
    <row r="7" spans="1:11" ht="12.75" customHeight="1" x14ac:dyDescent="0.2">
      <c r="A7" s="6"/>
      <c r="K7" s="7"/>
    </row>
    <row r="8" spans="1:11" ht="12.75" customHeight="1" x14ac:dyDescent="0.2">
      <c r="A8" s="23"/>
      <c r="K8" s="7"/>
    </row>
    <row r="9" spans="1:11" ht="12.75" customHeight="1" x14ac:dyDescent="0.2">
      <c r="A9" s="101" t="s">
        <v>34</v>
      </c>
      <c r="B9" s="102"/>
      <c r="C9" s="102"/>
      <c r="D9" s="102"/>
      <c r="E9" s="102"/>
      <c r="F9" s="102"/>
      <c r="G9" s="102"/>
      <c r="H9" s="102"/>
      <c r="I9" s="102"/>
      <c r="J9" s="102"/>
      <c r="K9" s="103"/>
    </row>
    <row r="10" spans="1:11" ht="12.75" customHeight="1" x14ac:dyDescent="0.2">
      <c r="A10" s="6"/>
      <c r="K10" s="7"/>
    </row>
    <row r="11" spans="1:11" ht="12.75" customHeight="1" x14ac:dyDescent="0.2">
      <c r="A11" s="6"/>
      <c r="K11" s="7"/>
    </row>
    <row r="12" spans="1:11" ht="12.75" customHeight="1" x14ac:dyDescent="0.2">
      <c r="A12" s="21" t="s">
        <v>15</v>
      </c>
      <c r="B12" s="107"/>
      <c r="C12" s="108"/>
      <c r="E12" s="4"/>
      <c r="F12" s="5" t="s">
        <v>26</v>
      </c>
      <c r="G12" s="112"/>
      <c r="H12" s="113"/>
      <c r="I12" s="113"/>
      <c r="K12" s="7"/>
    </row>
    <row r="13" spans="1:11" ht="12.75" customHeight="1" x14ac:dyDescent="0.2">
      <c r="A13" s="22"/>
      <c r="B13" s="1"/>
      <c r="C13" s="1"/>
      <c r="E13" s="1" t="s">
        <v>13</v>
      </c>
      <c r="K13" s="7"/>
    </row>
    <row r="14" spans="1:11" ht="12.75" customHeight="1" x14ac:dyDescent="0.2">
      <c r="A14" s="21" t="s">
        <v>17</v>
      </c>
      <c r="B14" s="107"/>
      <c r="C14" s="108"/>
      <c r="E14" s="4"/>
      <c r="F14" s="5" t="s">
        <v>18</v>
      </c>
      <c r="G14" s="107"/>
      <c r="H14" s="108"/>
      <c r="I14" s="108"/>
      <c r="K14" s="7"/>
    </row>
    <row r="15" spans="1:11" ht="12.75" customHeight="1" x14ac:dyDescent="0.2">
      <c r="A15" s="23"/>
      <c r="B15" s="1"/>
      <c r="C15" s="1"/>
      <c r="E15" s="1"/>
      <c r="F15" s="1"/>
      <c r="G15" s="1"/>
      <c r="H15" s="1"/>
      <c r="I15" s="1"/>
      <c r="K15" s="7"/>
    </row>
    <row r="16" spans="1:11" x14ac:dyDescent="0.2">
      <c r="A16" s="21" t="s">
        <v>16</v>
      </c>
      <c r="B16" s="107"/>
      <c r="C16" s="108"/>
      <c r="E16" s="1"/>
      <c r="F16" s="5"/>
      <c r="G16" s="114"/>
      <c r="H16" s="114"/>
      <c r="I16" s="114"/>
      <c r="K16" s="7"/>
    </row>
    <row r="17" spans="1:11" ht="13.5" thickBot="1" x14ac:dyDescent="0.25">
      <c r="A17" s="24"/>
      <c r="B17" s="25"/>
      <c r="C17" s="25"/>
      <c r="D17" s="25"/>
      <c r="E17" s="25"/>
      <c r="F17" s="25"/>
      <c r="G17" s="25"/>
      <c r="H17" s="25"/>
      <c r="I17" s="25"/>
      <c r="J17" s="25"/>
      <c r="K17" s="26"/>
    </row>
    <row r="18" spans="1:11" x14ac:dyDescent="0.2">
      <c r="A18" s="6"/>
      <c r="K18" s="7"/>
    </row>
    <row r="19" spans="1:11" x14ac:dyDescent="0.2">
      <c r="A19" s="6"/>
      <c r="K19" s="7"/>
    </row>
    <row r="20" spans="1:11" x14ac:dyDescent="0.2">
      <c r="A20" s="6"/>
      <c r="K20" s="7"/>
    </row>
    <row r="21" spans="1:11" x14ac:dyDescent="0.2">
      <c r="A21" s="6"/>
      <c r="K21" s="7"/>
    </row>
    <row r="22" spans="1:11" x14ac:dyDescent="0.2">
      <c r="A22" s="6"/>
      <c r="K22" s="7"/>
    </row>
    <row r="23" spans="1:11" x14ac:dyDescent="0.2">
      <c r="A23" s="6"/>
      <c r="K23" s="7"/>
    </row>
    <row r="24" spans="1:11" x14ac:dyDescent="0.2">
      <c r="A24" s="6"/>
      <c r="K24" s="7"/>
    </row>
    <row r="25" spans="1:11" x14ac:dyDescent="0.2">
      <c r="A25" s="6"/>
      <c r="K25" s="7"/>
    </row>
    <row r="26" spans="1:11" x14ac:dyDescent="0.2">
      <c r="A26" s="6"/>
      <c r="K26" s="7"/>
    </row>
    <row r="27" spans="1:11" x14ac:dyDescent="0.2">
      <c r="A27" s="6"/>
      <c r="K27" s="7"/>
    </row>
    <row r="28" spans="1:11" x14ac:dyDescent="0.2">
      <c r="A28" s="6"/>
      <c r="K28" s="7"/>
    </row>
    <row r="29" spans="1:11" x14ac:dyDescent="0.2">
      <c r="A29" s="6"/>
      <c r="K29" s="7"/>
    </row>
    <row r="30" spans="1:11" x14ac:dyDescent="0.2">
      <c r="A30" s="6"/>
      <c r="K30" s="7"/>
    </row>
    <row r="31" spans="1:11" x14ac:dyDescent="0.2">
      <c r="A31" s="6"/>
      <c r="K31" s="7"/>
    </row>
    <row r="32" spans="1:11" x14ac:dyDescent="0.2">
      <c r="A32" s="6"/>
      <c r="K32" s="7"/>
    </row>
    <row r="33" spans="1:14" x14ac:dyDescent="0.2">
      <c r="A33" s="6"/>
      <c r="K33" s="7"/>
    </row>
    <row r="34" spans="1:14" x14ac:dyDescent="0.2">
      <c r="A34" s="6"/>
      <c r="K34" s="7"/>
    </row>
    <row r="35" spans="1:14" x14ac:dyDescent="0.2">
      <c r="A35" s="6"/>
      <c r="K35" s="7"/>
    </row>
    <row r="36" spans="1:14" x14ac:dyDescent="0.2">
      <c r="A36" s="6"/>
      <c r="K36" s="7"/>
    </row>
    <row r="37" spans="1:14" ht="13.5" thickBot="1" x14ac:dyDescent="0.25">
      <c r="A37" s="6"/>
      <c r="K37" s="7"/>
    </row>
    <row r="38" spans="1:14" ht="15" customHeight="1" thickBot="1" x14ac:dyDescent="0.25">
      <c r="A38" s="115" t="s">
        <v>45</v>
      </c>
      <c r="B38" s="116"/>
      <c r="C38" s="116"/>
      <c r="D38" s="116"/>
      <c r="E38" s="116"/>
      <c r="F38" s="116"/>
      <c r="G38" s="116"/>
      <c r="H38" s="116"/>
      <c r="I38" s="116"/>
      <c r="J38" s="116"/>
      <c r="K38" s="117"/>
    </row>
    <row r="39" spans="1:14" x14ac:dyDescent="0.2">
      <c r="A39" s="27" t="s">
        <v>46</v>
      </c>
      <c r="B39" s="109" t="s">
        <v>7</v>
      </c>
      <c r="C39" s="110"/>
      <c r="D39" s="111"/>
      <c r="E39" s="104" t="s">
        <v>0</v>
      </c>
      <c r="F39" s="105"/>
      <c r="G39" s="105"/>
      <c r="H39" s="105"/>
      <c r="I39" s="106"/>
      <c r="J39" s="118" t="s">
        <v>69</v>
      </c>
      <c r="K39" s="119"/>
    </row>
    <row r="40" spans="1:14" x14ac:dyDescent="0.2">
      <c r="A40" s="125"/>
      <c r="B40" s="129" t="s">
        <v>1</v>
      </c>
      <c r="C40" s="129"/>
      <c r="D40" s="129"/>
      <c r="E40" s="142" t="s">
        <v>1</v>
      </c>
      <c r="F40" s="143"/>
      <c r="G40" s="143"/>
      <c r="H40" s="143"/>
      <c r="I40" s="143"/>
      <c r="J40" s="143"/>
      <c r="K40" s="144"/>
    </row>
    <row r="41" spans="1:14" x14ac:dyDescent="0.2">
      <c r="A41" s="126"/>
      <c r="B41" s="28" t="s">
        <v>8</v>
      </c>
      <c r="C41" s="29" t="s">
        <v>25</v>
      </c>
      <c r="D41" s="29" t="s">
        <v>24</v>
      </c>
      <c r="E41" s="28" t="s">
        <v>2</v>
      </c>
      <c r="F41" s="16" t="s">
        <v>3</v>
      </c>
      <c r="G41" s="16" t="s">
        <v>4</v>
      </c>
      <c r="H41" s="16" t="s">
        <v>6</v>
      </c>
      <c r="I41" s="16" t="s">
        <v>5</v>
      </c>
      <c r="J41" s="28" t="s">
        <v>66</v>
      </c>
      <c r="K41" s="30" t="s">
        <v>67</v>
      </c>
    </row>
    <row r="42" spans="1:14" ht="15" customHeight="1" x14ac:dyDescent="0.2">
      <c r="A42" s="31" t="s">
        <v>9</v>
      </c>
      <c r="B42" s="19"/>
      <c r="C42" s="19"/>
      <c r="D42" s="19"/>
      <c r="E42" s="19"/>
      <c r="F42" s="19"/>
      <c r="G42" s="19"/>
      <c r="H42" s="19"/>
      <c r="I42" s="19"/>
      <c r="J42" s="19"/>
      <c r="K42" s="85"/>
      <c r="M42" s="3"/>
      <c r="N42" s="86"/>
    </row>
    <row r="43" spans="1:14" ht="15" customHeight="1" x14ac:dyDescent="0.2">
      <c r="A43" s="31" t="s">
        <v>10</v>
      </c>
      <c r="B43" s="19"/>
      <c r="C43" s="19"/>
      <c r="D43" s="19"/>
      <c r="E43" s="19"/>
      <c r="F43" s="19"/>
      <c r="G43" s="19"/>
      <c r="H43" s="19"/>
      <c r="I43" s="19"/>
      <c r="J43" s="19"/>
      <c r="K43" s="85"/>
      <c r="M43" s="3"/>
      <c r="N43" s="86"/>
    </row>
    <row r="44" spans="1:14" ht="15" customHeight="1" x14ac:dyDescent="0.2">
      <c r="A44" s="31" t="s">
        <v>11</v>
      </c>
      <c r="B44" s="19"/>
      <c r="C44" s="19"/>
      <c r="D44" s="19"/>
      <c r="E44" s="19"/>
      <c r="F44" s="19"/>
      <c r="G44" s="19"/>
      <c r="H44" s="19"/>
      <c r="I44" s="19"/>
      <c r="J44" s="19"/>
      <c r="K44" s="85"/>
    </row>
    <row r="45" spans="1:14" ht="15" customHeight="1" x14ac:dyDescent="0.2">
      <c r="A45" s="31" t="s">
        <v>5</v>
      </c>
      <c r="B45" s="19"/>
      <c r="C45" s="19"/>
      <c r="D45" s="19"/>
      <c r="E45" s="19"/>
      <c r="F45" s="19"/>
      <c r="G45" s="19"/>
      <c r="H45" s="19"/>
      <c r="I45" s="19"/>
      <c r="J45" s="19"/>
      <c r="K45" s="85"/>
    </row>
    <row r="46" spans="1:14" ht="15" customHeight="1" x14ac:dyDescent="0.2">
      <c r="A46" s="31" t="s">
        <v>12</v>
      </c>
      <c r="B46" s="127"/>
      <c r="C46" s="128"/>
      <c r="D46" s="79" t="e">
        <f>AVERAGE(D42:D45)</f>
        <v>#DIV/0!</v>
      </c>
      <c r="E46" s="122"/>
      <c r="F46" s="123"/>
      <c r="G46" s="123"/>
      <c r="H46" s="123"/>
      <c r="I46" s="123"/>
      <c r="J46" s="123"/>
      <c r="K46" s="124"/>
    </row>
    <row r="47" spans="1:14" ht="13.5" thickBot="1" x14ac:dyDescent="0.25">
      <c r="A47" s="34"/>
      <c r="B47" s="35" t="s">
        <v>13</v>
      </c>
      <c r="C47" s="35" t="s">
        <v>13</v>
      </c>
      <c r="D47" s="36" t="s">
        <v>14</v>
      </c>
      <c r="E47" s="35"/>
      <c r="F47" s="35"/>
      <c r="G47" s="3"/>
      <c r="H47" s="3"/>
      <c r="I47" s="3"/>
      <c r="K47" s="7"/>
    </row>
    <row r="48" spans="1:14" ht="13.5" thickBot="1" x14ac:dyDescent="0.25">
      <c r="A48" s="115" t="s">
        <v>53</v>
      </c>
      <c r="B48" s="116"/>
      <c r="C48" s="116"/>
      <c r="D48" s="116"/>
      <c r="E48" s="116"/>
      <c r="F48" s="116"/>
      <c r="G48" s="116"/>
      <c r="H48" s="116"/>
      <c r="I48" s="116"/>
      <c r="J48" s="116"/>
      <c r="K48" s="117"/>
    </row>
    <row r="49" spans="1:13" x14ac:dyDescent="0.2">
      <c r="A49" s="37" t="s">
        <v>46</v>
      </c>
      <c r="B49" s="130" t="s">
        <v>7</v>
      </c>
      <c r="C49" s="131"/>
      <c r="D49" s="132"/>
      <c r="E49" s="133" t="s">
        <v>0</v>
      </c>
      <c r="F49" s="134"/>
      <c r="G49" s="134"/>
      <c r="H49" s="134"/>
      <c r="I49" s="135"/>
      <c r="J49" s="120" t="s">
        <v>68</v>
      </c>
      <c r="K49" s="121"/>
    </row>
    <row r="50" spans="1:13" x14ac:dyDescent="0.2">
      <c r="A50" s="154"/>
      <c r="B50" s="157" t="s">
        <v>1</v>
      </c>
      <c r="C50" s="157"/>
      <c r="D50" s="157"/>
      <c r="E50" s="133" t="s">
        <v>1</v>
      </c>
      <c r="F50" s="134"/>
      <c r="G50" s="134"/>
      <c r="H50" s="134"/>
      <c r="I50" s="134"/>
      <c r="J50" s="134"/>
      <c r="K50" s="145"/>
    </row>
    <row r="51" spans="1:13" x14ac:dyDescent="0.2">
      <c r="A51" s="155"/>
      <c r="B51" s="38" t="s">
        <v>8</v>
      </c>
      <c r="C51" s="39" t="s">
        <v>25</v>
      </c>
      <c r="D51" s="39" t="s">
        <v>24</v>
      </c>
      <c r="E51" s="38" t="s">
        <v>2</v>
      </c>
      <c r="F51" s="40" t="s">
        <v>3</v>
      </c>
      <c r="G51" s="40" t="s">
        <v>4</v>
      </c>
      <c r="H51" s="40" t="s">
        <v>6</v>
      </c>
      <c r="I51" s="40" t="s">
        <v>5</v>
      </c>
      <c r="J51" s="38" t="s">
        <v>66</v>
      </c>
      <c r="K51" s="41" t="s">
        <v>67</v>
      </c>
    </row>
    <row r="52" spans="1:13" x14ac:dyDescent="0.2">
      <c r="A52" s="42" t="s">
        <v>9</v>
      </c>
      <c r="B52" s="8"/>
      <c r="C52" s="43"/>
      <c r="D52" s="43"/>
      <c r="E52" s="43"/>
      <c r="F52" s="43"/>
      <c r="G52" s="8"/>
      <c r="H52" s="43"/>
      <c r="I52" s="43"/>
      <c r="J52" s="8"/>
      <c r="K52" s="44"/>
    </row>
    <row r="53" spans="1:13" x14ac:dyDescent="0.2">
      <c r="A53" s="42" t="s">
        <v>10</v>
      </c>
      <c r="B53" s="8"/>
      <c r="C53" s="43"/>
      <c r="D53" s="43"/>
      <c r="E53" s="43"/>
      <c r="F53" s="43"/>
      <c r="G53" s="8"/>
      <c r="H53" s="43"/>
      <c r="I53" s="43"/>
      <c r="J53" s="8"/>
      <c r="K53" s="44"/>
    </row>
    <row r="54" spans="1:13" x14ac:dyDescent="0.2">
      <c r="A54" s="42" t="s">
        <v>11</v>
      </c>
      <c r="B54" s="8"/>
      <c r="C54" s="43"/>
      <c r="D54" s="43"/>
      <c r="E54" s="43"/>
      <c r="F54" s="43"/>
      <c r="G54" s="8"/>
      <c r="H54" s="43"/>
      <c r="I54" s="43"/>
      <c r="J54" s="8"/>
      <c r="K54" s="44"/>
    </row>
    <row r="55" spans="1:13" x14ac:dyDescent="0.2">
      <c r="A55" s="42" t="s">
        <v>5</v>
      </c>
      <c r="B55" s="8"/>
      <c r="C55" s="43"/>
      <c r="D55" s="43"/>
      <c r="E55" s="43"/>
      <c r="F55" s="43"/>
      <c r="G55" s="8"/>
      <c r="H55" s="43"/>
      <c r="I55" s="43"/>
      <c r="J55" s="8"/>
      <c r="K55" s="44"/>
    </row>
    <row r="56" spans="1:13" x14ac:dyDescent="0.2">
      <c r="A56" s="42" t="s">
        <v>47</v>
      </c>
      <c r="B56" s="45" t="e">
        <f>AVERAGE(B52:B55)</f>
        <v>#DIV/0!</v>
      </c>
      <c r="C56" s="46"/>
      <c r="D56" s="46"/>
      <c r="E56" s="46"/>
      <c r="F56" s="46"/>
      <c r="G56" s="45" t="e">
        <f>AVERAGE(G52:G55)</f>
        <v>#DIV/0!</v>
      </c>
      <c r="H56" s="46"/>
      <c r="I56" s="46"/>
      <c r="J56" s="47" t="e">
        <f>AVERAGE(J52:J55)</f>
        <v>#DIV/0!</v>
      </c>
      <c r="K56" s="48"/>
    </row>
    <row r="57" spans="1:13" x14ac:dyDescent="0.2">
      <c r="A57" s="49"/>
      <c r="B57" s="50"/>
      <c r="C57" s="50"/>
      <c r="D57" s="50"/>
      <c r="E57" s="50"/>
      <c r="F57" s="50"/>
      <c r="G57" s="50"/>
      <c r="H57" s="50"/>
      <c r="I57" s="50"/>
      <c r="K57" s="7"/>
      <c r="M57" s="3" t="s">
        <v>89</v>
      </c>
    </row>
    <row r="58" spans="1:13" ht="14.25" customHeight="1" x14ac:dyDescent="0.2">
      <c r="A58" s="34"/>
      <c r="B58" s="156" t="s">
        <v>35</v>
      </c>
      <c r="C58" s="156"/>
      <c r="D58" s="156"/>
      <c r="E58" s="156"/>
      <c r="F58" s="156"/>
      <c r="G58" s="156"/>
      <c r="H58" s="156"/>
      <c r="I58" s="3"/>
      <c r="K58" s="7"/>
      <c r="M58" s="3" t="s">
        <v>90</v>
      </c>
    </row>
    <row r="59" spans="1:13" ht="14.25" customHeight="1" x14ac:dyDescent="0.2">
      <c r="A59" s="34"/>
      <c r="B59" s="51"/>
      <c r="C59" s="51"/>
      <c r="D59" s="51"/>
      <c r="E59" s="51"/>
      <c r="F59" s="51"/>
      <c r="G59" s="51"/>
      <c r="H59" s="51"/>
      <c r="I59" s="3"/>
      <c r="J59" s="59" t="s">
        <v>88</v>
      </c>
      <c r="K59" s="96"/>
      <c r="M59" s="3" t="s">
        <v>91</v>
      </c>
    </row>
    <row r="60" spans="1:13" ht="15.95" customHeight="1" x14ac:dyDescent="0.2">
      <c r="A60" s="12" t="s">
        <v>30</v>
      </c>
      <c r="B60" s="20"/>
      <c r="C60" s="13" t="s">
        <v>19</v>
      </c>
      <c r="D60" s="20"/>
      <c r="E60" s="61" t="s">
        <v>81</v>
      </c>
      <c r="F60" s="107"/>
      <c r="G60" s="107"/>
      <c r="H60" s="13" t="s">
        <v>20</v>
      </c>
      <c r="I60" s="59"/>
      <c r="K60" s="7"/>
    </row>
    <row r="61" spans="1:13" s="3" customFormat="1" ht="15.95" customHeight="1" x14ac:dyDescent="0.2">
      <c r="A61" s="12" t="s">
        <v>29</v>
      </c>
      <c r="B61" s="52"/>
      <c r="C61" s="13" t="s">
        <v>21</v>
      </c>
      <c r="D61" s="20"/>
      <c r="E61" s="151" t="s">
        <v>79</v>
      </c>
      <c r="F61" s="151"/>
      <c r="G61" s="53"/>
      <c r="I61" s="83" t="s">
        <v>22</v>
      </c>
      <c r="J61" s="136"/>
      <c r="K61" s="137"/>
    </row>
    <row r="62" spans="1:13" s="3" customFormat="1" ht="15.95" hidden="1" customHeight="1" x14ac:dyDescent="0.2">
      <c r="A62" s="159" t="s">
        <v>48</v>
      </c>
      <c r="B62" s="160"/>
      <c r="C62" s="160"/>
      <c r="D62" s="13" t="s">
        <v>40</v>
      </c>
      <c r="E62" s="54" t="e">
        <f>B56</f>
        <v>#DIV/0!</v>
      </c>
      <c r="F62" s="55" t="s">
        <v>41</v>
      </c>
      <c r="G62" s="54" t="e">
        <f>AVERAGE(F56)</f>
        <v>#DIV/0!</v>
      </c>
      <c r="J62"/>
      <c r="K62" s="7"/>
    </row>
    <row r="63" spans="1:13" s="3" customFormat="1" ht="15.95" customHeight="1" x14ac:dyDescent="0.2">
      <c r="A63" s="138" t="s">
        <v>31</v>
      </c>
      <c r="B63" s="139"/>
      <c r="C63" s="80"/>
      <c r="D63" s="151" t="s">
        <v>63</v>
      </c>
      <c r="E63" s="151"/>
      <c r="F63" s="9"/>
      <c r="G63" s="151" t="s">
        <v>64</v>
      </c>
      <c r="H63" s="151"/>
      <c r="I63" s="9"/>
      <c r="J63"/>
      <c r="K63" s="7"/>
    </row>
    <row r="64" spans="1:13" s="3" customFormat="1" ht="15.95" customHeight="1" x14ac:dyDescent="0.2">
      <c r="A64" s="138" t="s">
        <v>32</v>
      </c>
      <c r="B64" s="139"/>
      <c r="C64" s="139"/>
      <c r="D64" s="139"/>
      <c r="E64" s="80"/>
      <c r="I64" s="3" t="s">
        <v>80</v>
      </c>
      <c r="J64"/>
      <c r="K64" s="97"/>
    </row>
    <row r="65" spans="1:11" s="3" customFormat="1" ht="15.95" customHeight="1" x14ac:dyDescent="0.2">
      <c r="A65" s="12" t="s">
        <v>33</v>
      </c>
      <c r="C65" s="13" t="s">
        <v>60</v>
      </c>
      <c r="D65" s="10"/>
      <c r="E65" s="13" t="s">
        <v>61</v>
      </c>
      <c r="F65" s="10"/>
      <c r="G65" s="14"/>
      <c r="J65"/>
      <c r="K65" s="7"/>
    </row>
    <row r="66" spans="1:11" s="3" customFormat="1" ht="15.95" customHeight="1" x14ac:dyDescent="0.2">
      <c r="A66" s="12" t="s">
        <v>70</v>
      </c>
      <c r="C66" s="13" t="s">
        <v>40</v>
      </c>
      <c r="D66" s="80"/>
      <c r="E66" s="13" t="s">
        <v>41</v>
      </c>
      <c r="F66" s="80"/>
      <c r="G66" s="14" t="s">
        <v>71</v>
      </c>
      <c r="H66" s="80"/>
      <c r="J66"/>
      <c r="K66" s="7"/>
    </row>
    <row r="67" spans="1:11" s="3" customFormat="1" ht="15.95" customHeight="1" thickBot="1" x14ac:dyDescent="0.25">
      <c r="A67" s="58"/>
      <c r="B67" s="59"/>
      <c r="C67" s="13"/>
      <c r="D67" s="60"/>
      <c r="E67" s="61"/>
      <c r="F67" s="62"/>
      <c r="G67" s="59"/>
      <c r="J67"/>
      <c r="K67" s="7"/>
    </row>
    <row r="68" spans="1:11" s="3" customFormat="1" ht="15.95" customHeight="1" thickBot="1" x14ac:dyDescent="0.25">
      <c r="A68" s="166" t="s">
        <v>52</v>
      </c>
      <c r="B68" s="167"/>
      <c r="C68" s="167"/>
      <c r="D68" s="167"/>
      <c r="E68" s="167"/>
      <c r="F68" s="167"/>
      <c r="G68" s="167"/>
      <c r="H68" s="167"/>
      <c r="I68" s="168"/>
      <c r="J68"/>
      <c r="K68" s="7"/>
    </row>
    <row r="69" spans="1:11" s="3" customFormat="1" ht="13.5" thickTop="1" x14ac:dyDescent="0.2">
      <c r="A69" s="63" t="s">
        <v>49</v>
      </c>
      <c r="B69" s="64" t="s">
        <v>50</v>
      </c>
      <c r="C69" s="64" t="s">
        <v>51</v>
      </c>
      <c r="D69" s="64" t="s">
        <v>54</v>
      </c>
      <c r="E69" s="65" t="s">
        <v>55</v>
      </c>
      <c r="F69" s="149" t="s">
        <v>38</v>
      </c>
      <c r="G69" s="158"/>
      <c r="H69" s="8" t="s">
        <v>84</v>
      </c>
      <c r="I69" s="66"/>
      <c r="J69"/>
      <c r="K69" s="7"/>
    </row>
    <row r="70" spans="1:11" s="3" customFormat="1" x14ac:dyDescent="0.2">
      <c r="A70" s="42" t="s">
        <v>56</v>
      </c>
      <c r="B70" s="11" t="s">
        <v>86</v>
      </c>
      <c r="C70" s="11" t="s">
        <v>86</v>
      </c>
      <c r="D70" s="17">
        <f>IFERROR(B70+C70+E70,0)</f>
        <v>0</v>
      </c>
      <c r="E70" s="11">
        <v>0.125</v>
      </c>
      <c r="F70" s="149" t="s">
        <v>62</v>
      </c>
      <c r="G70" s="150"/>
      <c r="H70" s="8" t="s">
        <v>84</v>
      </c>
      <c r="I70" s="66"/>
      <c r="J70"/>
      <c r="K70" s="7"/>
    </row>
    <row r="71" spans="1:11" s="3" customFormat="1" x14ac:dyDescent="0.2">
      <c r="A71" s="42" t="s">
        <v>57</v>
      </c>
      <c r="B71" s="11" t="s">
        <v>86</v>
      </c>
      <c r="C71" s="11" t="s">
        <v>86</v>
      </c>
      <c r="D71" s="17">
        <f>IFERROR(B71+C71+E71,0)</f>
        <v>0</v>
      </c>
      <c r="E71" s="11">
        <v>0.125</v>
      </c>
      <c r="F71" s="149" t="s">
        <v>36</v>
      </c>
      <c r="G71" s="158"/>
      <c r="H71" s="8" t="s">
        <v>84</v>
      </c>
      <c r="I71" s="66"/>
      <c r="J71"/>
      <c r="K71" s="7"/>
    </row>
    <row r="72" spans="1:11" s="3" customFormat="1" x14ac:dyDescent="0.2">
      <c r="A72" s="42" t="s">
        <v>58</v>
      </c>
      <c r="B72" s="11" t="s">
        <v>86</v>
      </c>
      <c r="C72" s="11" t="s">
        <v>86</v>
      </c>
      <c r="D72" s="17">
        <f>IFERROR(B72+C72+E72,0)</f>
        <v>0</v>
      </c>
      <c r="E72" s="11">
        <v>0.125</v>
      </c>
      <c r="F72" s="149" t="s">
        <v>39</v>
      </c>
      <c r="G72" s="158"/>
      <c r="H72" s="8" t="s">
        <v>84</v>
      </c>
      <c r="I72" s="66"/>
      <c r="J72"/>
      <c r="K72" s="7"/>
    </row>
    <row r="73" spans="1:11" s="3" customFormat="1" x14ac:dyDescent="0.2">
      <c r="A73" s="42" t="s">
        <v>59</v>
      </c>
      <c r="B73" s="11" t="s">
        <v>86</v>
      </c>
      <c r="C73" s="11" t="s">
        <v>86</v>
      </c>
      <c r="D73" s="17">
        <f>IFERROR(B73+C73+E73,0)</f>
        <v>0</v>
      </c>
      <c r="E73" s="11">
        <v>0.125</v>
      </c>
      <c r="F73" s="149" t="s">
        <v>37</v>
      </c>
      <c r="G73" s="158"/>
      <c r="H73" s="8" t="s">
        <v>84</v>
      </c>
      <c r="I73" s="66"/>
      <c r="J73"/>
      <c r="K73" s="7"/>
    </row>
    <row r="74" spans="1:11" s="3" customFormat="1" ht="13.5" thickBot="1" x14ac:dyDescent="0.25">
      <c r="A74" s="146" t="s">
        <v>75</v>
      </c>
      <c r="B74" s="147"/>
      <c r="C74" s="147"/>
      <c r="D74" s="147"/>
      <c r="E74" s="148"/>
      <c r="F74" s="152" t="s">
        <v>65</v>
      </c>
      <c r="G74" s="153"/>
      <c r="H74" s="8" t="s">
        <v>84</v>
      </c>
      <c r="I74" s="67"/>
      <c r="J74"/>
      <c r="K74" s="7"/>
    </row>
    <row r="75" spans="1:11" s="2" customFormat="1" ht="14.25" x14ac:dyDescent="0.2">
      <c r="A75" s="68" t="s">
        <v>27</v>
      </c>
      <c r="B75" s="140"/>
      <c r="C75" s="140"/>
      <c r="D75" s="140"/>
      <c r="E75" s="140"/>
      <c r="F75" s="140"/>
      <c r="G75" s="140"/>
      <c r="H75" s="140"/>
      <c r="I75" s="141"/>
      <c r="J75"/>
      <c r="K75" s="7"/>
    </row>
    <row r="76" spans="1:11" s="2" customFormat="1" ht="14.25" x14ac:dyDescent="0.2">
      <c r="A76" s="69"/>
      <c r="B76" s="163"/>
      <c r="C76" s="163"/>
      <c r="D76" s="163"/>
      <c r="E76" s="163"/>
      <c r="F76" s="163"/>
      <c r="G76" s="163"/>
      <c r="H76" s="163"/>
      <c r="I76" s="163"/>
      <c r="J76"/>
      <c r="K76" s="7"/>
    </row>
    <row r="77" spans="1:11" s="2" customFormat="1" ht="14.25" x14ac:dyDescent="0.2">
      <c r="A77" s="69"/>
      <c r="B77" s="164"/>
      <c r="C77" s="164"/>
      <c r="D77" s="164"/>
      <c r="E77" s="164"/>
      <c r="F77" s="164"/>
      <c r="G77" s="164"/>
      <c r="H77" s="164"/>
      <c r="I77" s="164"/>
      <c r="J77"/>
      <c r="K77" s="7"/>
    </row>
    <row r="78" spans="1:11" s="2" customFormat="1" ht="14.25" x14ac:dyDescent="0.2">
      <c r="A78" s="69"/>
      <c r="B78" s="165"/>
      <c r="C78" s="165"/>
      <c r="D78" s="165"/>
      <c r="E78" s="70"/>
      <c r="F78" s="70"/>
      <c r="G78" s="70"/>
      <c r="H78" s="70"/>
      <c r="I78" s="70"/>
      <c r="J78"/>
      <c r="K78" s="7"/>
    </row>
    <row r="79" spans="1:11" s="2" customFormat="1" ht="14.25" x14ac:dyDescent="0.2">
      <c r="A79" s="69"/>
      <c r="B79" s="107"/>
      <c r="C79" s="107"/>
      <c r="D79" s="107"/>
      <c r="E79" s="71"/>
      <c r="F79" s="162" t="s">
        <v>72</v>
      </c>
      <c r="G79" s="162"/>
      <c r="H79" s="162"/>
      <c r="I79" s="51"/>
      <c r="J79"/>
      <c r="K79" s="7"/>
    </row>
    <row r="80" spans="1:11" ht="14.25" x14ac:dyDescent="0.2">
      <c r="A80" s="34"/>
      <c r="B80" s="161" t="s">
        <v>28</v>
      </c>
      <c r="C80" s="161"/>
      <c r="D80" s="161"/>
      <c r="E80" s="71"/>
      <c r="F80" s="161" t="s">
        <v>23</v>
      </c>
      <c r="G80" s="161"/>
      <c r="H80" s="161"/>
      <c r="I80" s="51"/>
      <c r="K80" s="7"/>
    </row>
    <row r="81" spans="1:11" ht="13.5" thickBot="1" x14ac:dyDescent="0.25">
      <c r="A81" s="72"/>
      <c r="B81" s="73"/>
      <c r="C81" s="92"/>
      <c r="D81" s="92"/>
      <c r="E81" s="92"/>
      <c r="F81" s="93" t="s">
        <v>83</v>
      </c>
      <c r="G81" s="93"/>
      <c r="H81" s="93"/>
      <c r="I81" s="92"/>
      <c r="J81" s="25"/>
      <c r="K81" s="26"/>
    </row>
  </sheetData>
  <sheetProtection selectLockedCells="1"/>
  <mergeCells count="56">
    <mergeCell ref="E61:F61"/>
    <mergeCell ref="F80:H80"/>
    <mergeCell ref="B80:D80"/>
    <mergeCell ref="B79:D79"/>
    <mergeCell ref="F79:H79"/>
    <mergeCell ref="F72:G72"/>
    <mergeCell ref="B76:I77"/>
    <mergeCell ref="B78:D78"/>
    <mergeCell ref="D63:E63"/>
    <mergeCell ref="F71:G71"/>
    <mergeCell ref="F73:G73"/>
    <mergeCell ref="A68:I68"/>
    <mergeCell ref="J61:K61"/>
    <mergeCell ref="A63:B63"/>
    <mergeCell ref="A64:D64"/>
    <mergeCell ref="B75:I75"/>
    <mergeCell ref="E40:K40"/>
    <mergeCell ref="E50:K50"/>
    <mergeCell ref="A74:E74"/>
    <mergeCell ref="F70:G70"/>
    <mergeCell ref="G63:H63"/>
    <mergeCell ref="F74:G74"/>
    <mergeCell ref="A50:A51"/>
    <mergeCell ref="F60:G60"/>
    <mergeCell ref="B58:H58"/>
    <mergeCell ref="B50:D50"/>
    <mergeCell ref="F69:G69"/>
    <mergeCell ref="A62:C62"/>
    <mergeCell ref="A48:K48"/>
    <mergeCell ref="J49:K49"/>
    <mergeCell ref="E46:K46"/>
    <mergeCell ref="A40:A41"/>
    <mergeCell ref="B46:C46"/>
    <mergeCell ref="B40:D40"/>
    <mergeCell ref="B49:D49"/>
    <mergeCell ref="E49:I49"/>
    <mergeCell ref="A9:K9"/>
    <mergeCell ref="E39:I39"/>
    <mergeCell ref="G14:I14"/>
    <mergeCell ref="B39:D39"/>
    <mergeCell ref="G12:I12"/>
    <mergeCell ref="G16:I16"/>
    <mergeCell ref="B12:C12"/>
    <mergeCell ref="B14:C14"/>
    <mergeCell ref="B16:C16"/>
    <mergeCell ref="A38:K38"/>
    <mergeCell ref="J39:K39"/>
    <mergeCell ref="A5:C5"/>
    <mergeCell ref="I5:K5"/>
    <mergeCell ref="A6:C6"/>
    <mergeCell ref="A2:C2"/>
    <mergeCell ref="I2:K2"/>
    <mergeCell ref="A3:C3"/>
    <mergeCell ref="I3:K3"/>
    <mergeCell ref="A4:C4"/>
    <mergeCell ref="I4:K4"/>
  </mergeCells>
  <phoneticPr fontId="0" type="noConversion"/>
  <conditionalFormatting sqref="B70:C73">
    <cfRule type="cellIs" dxfId="162" priority="80" stopIfTrue="1" operator="notBetween">
      <formula>IF($C$63&lt;3.11,0.985,0.965)</formula>
      <formula>IF($C$63&lt;3.11,1.015,1.035)</formula>
    </cfRule>
  </conditionalFormatting>
  <conditionalFormatting sqref="E62 G62">
    <cfRule type="cellIs" dxfId="161" priority="79" operator="greaterThan">
      <formula>250</formula>
    </cfRule>
  </conditionalFormatting>
  <conditionalFormatting sqref="B56 J56">
    <cfRule type="cellIs" dxfId="160" priority="75" operator="greaterThan">
      <formula>250</formula>
    </cfRule>
    <cfRule type="cellIs" dxfId="159" priority="76" operator="lessThan">
      <formula>34</formula>
    </cfRule>
  </conditionalFormatting>
  <conditionalFormatting sqref="B70:C73">
    <cfRule type="cellIs" dxfId="158" priority="74" operator="equal">
      <formula>"OK"</formula>
    </cfRule>
  </conditionalFormatting>
  <conditionalFormatting sqref="C70:C73">
    <cfRule type="cellIs" dxfId="157" priority="73" operator="equal">
      <formula>"OK"</formula>
    </cfRule>
  </conditionalFormatting>
  <conditionalFormatting sqref="B71">
    <cfRule type="cellIs" dxfId="156" priority="72" operator="equal">
      <formula>"OK"</formula>
    </cfRule>
  </conditionalFormatting>
  <conditionalFormatting sqref="C71">
    <cfRule type="cellIs" dxfId="155" priority="71" operator="equal">
      <formula>"OK"</formula>
    </cfRule>
  </conditionalFormatting>
  <conditionalFormatting sqref="B72">
    <cfRule type="cellIs" dxfId="154" priority="70" operator="equal">
      <formula>"OK"</formula>
    </cfRule>
  </conditionalFormatting>
  <conditionalFormatting sqref="C72">
    <cfRule type="cellIs" dxfId="153" priority="69" operator="equal">
      <formula>"OK"</formula>
    </cfRule>
  </conditionalFormatting>
  <conditionalFormatting sqref="B73">
    <cfRule type="cellIs" dxfId="152" priority="68" operator="equal">
      <formula>"OK"</formula>
    </cfRule>
  </conditionalFormatting>
  <conditionalFormatting sqref="C73">
    <cfRule type="cellIs" dxfId="151" priority="67" operator="equal">
      <formula>"OK"</formula>
    </cfRule>
  </conditionalFormatting>
  <conditionalFormatting sqref="D70">
    <cfRule type="cellIs" dxfId="150" priority="46" operator="lessThanOrEqual">
      <formula>$E$70</formula>
    </cfRule>
    <cfRule type="cellIs" dxfId="149" priority="66" operator="equal">
      <formula>0</formula>
    </cfRule>
  </conditionalFormatting>
  <conditionalFormatting sqref="B12:C12">
    <cfRule type="cellIs" dxfId="148" priority="61" operator="equal">
      <formula>0</formula>
    </cfRule>
  </conditionalFormatting>
  <conditionalFormatting sqref="B14:C14">
    <cfRule type="cellIs" dxfId="147" priority="60" operator="equal">
      <formula>0</formula>
    </cfRule>
  </conditionalFormatting>
  <conditionalFormatting sqref="B16:C16">
    <cfRule type="cellIs" dxfId="146" priority="59" operator="equal">
      <formula>0</formula>
    </cfRule>
  </conditionalFormatting>
  <conditionalFormatting sqref="G14:I14">
    <cfRule type="cellIs" dxfId="145" priority="58" operator="equal">
      <formula>0</formula>
    </cfRule>
  </conditionalFormatting>
  <conditionalFormatting sqref="F60:G60">
    <cfRule type="cellIs" dxfId="144" priority="57" operator="equal">
      <formula>0</formula>
    </cfRule>
  </conditionalFormatting>
  <conditionalFormatting sqref="J61:K61">
    <cfRule type="cellIs" dxfId="143" priority="56" operator="equal">
      <formula>0</formula>
    </cfRule>
  </conditionalFormatting>
  <conditionalFormatting sqref="H69">
    <cfRule type="cellIs" dxfId="142" priority="54" operator="equal">
      <formula>0</formula>
    </cfRule>
    <cfRule type="cellIs" dxfId="141" priority="55" operator="equal">
      <formula>"Fail"</formula>
    </cfRule>
  </conditionalFormatting>
  <conditionalFormatting sqref="E70:E73">
    <cfRule type="cellIs" dxfId="140" priority="47" operator="equal">
      <formula>0</formula>
    </cfRule>
  </conditionalFormatting>
  <conditionalFormatting sqref="D71">
    <cfRule type="cellIs" dxfId="139" priority="44" operator="lessThanOrEqual">
      <formula>$E$71</formula>
    </cfRule>
  </conditionalFormatting>
  <conditionalFormatting sqref="D72">
    <cfRule type="cellIs" dxfId="138" priority="43" operator="lessThanOrEqual">
      <formula>$E$72</formula>
    </cfRule>
    <cfRule type="cellIs" dxfId="137" priority="45" operator="equal">
      <formula>0</formula>
    </cfRule>
  </conditionalFormatting>
  <conditionalFormatting sqref="D73">
    <cfRule type="cellIs" dxfId="136" priority="41" operator="lessThanOrEqual">
      <formula>$E$73</formula>
    </cfRule>
    <cfRule type="cellIs" dxfId="135" priority="42" operator="equal">
      <formula>0</formula>
    </cfRule>
  </conditionalFormatting>
  <conditionalFormatting sqref="G12:I12">
    <cfRule type="cellIs" dxfId="134" priority="40" operator="equal">
      <formula>0</formula>
    </cfRule>
  </conditionalFormatting>
  <conditionalFormatting sqref="D42">
    <cfRule type="cellIs" dxfId="133" priority="39" operator="equal">
      <formula>0</formula>
    </cfRule>
  </conditionalFormatting>
  <conditionalFormatting sqref="D43:D45">
    <cfRule type="cellIs" dxfId="132" priority="38" operator="equal">
      <formula>0</formula>
    </cfRule>
  </conditionalFormatting>
  <conditionalFormatting sqref="B42:C45">
    <cfRule type="cellIs" dxfId="131" priority="37" operator="equal">
      <formula>0</formula>
    </cfRule>
  </conditionalFormatting>
  <conditionalFormatting sqref="E42:K45">
    <cfRule type="cellIs" dxfId="130" priority="36" operator="equal">
      <formula>0</formula>
    </cfRule>
  </conditionalFormatting>
  <conditionalFormatting sqref="F63">
    <cfRule type="cellIs" dxfId="129" priority="35" operator="equal">
      <formula>0</formula>
    </cfRule>
  </conditionalFormatting>
  <conditionalFormatting sqref="I63">
    <cfRule type="cellIs" dxfId="128" priority="34" operator="equal">
      <formula>0</formula>
    </cfRule>
  </conditionalFormatting>
  <conditionalFormatting sqref="B52:B55">
    <cfRule type="cellIs" dxfId="127" priority="33" operator="equal">
      <formula>0</formula>
    </cfRule>
  </conditionalFormatting>
  <conditionalFormatting sqref="J52:J55">
    <cfRule type="cellIs" dxfId="126" priority="24" operator="equal">
      <formula>0</formula>
    </cfRule>
  </conditionalFormatting>
  <conditionalFormatting sqref="B79:D79">
    <cfRule type="cellIs" dxfId="125" priority="23" operator="equal">
      <formula>0</formula>
    </cfRule>
  </conditionalFormatting>
  <conditionalFormatting sqref="B78:D78">
    <cfRule type="cellIs" dxfId="124" priority="22" operator="equal">
      <formula>0</formula>
    </cfRule>
  </conditionalFormatting>
  <conditionalFormatting sqref="G61">
    <cfRule type="cellIs" dxfId="123" priority="21" operator="equal">
      <formula>0</formula>
    </cfRule>
  </conditionalFormatting>
  <conditionalFormatting sqref="G56">
    <cfRule type="cellIs" dxfId="122" priority="13" operator="greaterThan">
      <formula>250</formula>
    </cfRule>
    <cfRule type="cellIs" dxfId="121" priority="14" operator="lessThan">
      <formula>34</formula>
    </cfRule>
  </conditionalFormatting>
  <conditionalFormatting sqref="G52:G55">
    <cfRule type="cellIs" dxfId="120" priority="12" operator="equal">
      <formula>0</formula>
    </cfRule>
  </conditionalFormatting>
  <conditionalFormatting sqref="K64">
    <cfRule type="cellIs" dxfId="119" priority="8" operator="equal">
      <formula>0</formula>
    </cfRule>
  </conditionalFormatting>
  <conditionalFormatting sqref="D65">
    <cfRule type="cellIs" dxfId="118" priority="6" operator="greaterThan">
      <formula>SUM($B$61*0.001)*12</formula>
    </cfRule>
    <cfRule type="cellIs" dxfId="117" priority="7" operator="equal">
      <formula>0</formula>
    </cfRule>
  </conditionalFormatting>
  <conditionalFormatting sqref="F65">
    <cfRule type="cellIs" dxfId="116" priority="4" operator="greaterThan">
      <formula>SUM($B$61*0.001)*3</formula>
    </cfRule>
    <cfRule type="cellIs" dxfId="115" priority="5" operator="equal">
      <formula>0</formula>
    </cfRule>
  </conditionalFormatting>
  <conditionalFormatting sqref="H70:H74">
    <cfRule type="cellIs" dxfId="114" priority="2" operator="equal">
      <formula>0</formula>
    </cfRule>
    <cfRule type="cellIs" dxfId="113" priority="3" operator="equal">
      <formula>"Fail"</formula>
    </cfRule>
  </conditionalFormatting>
  <conditionalFormatting sqref="K59">
    <cfRule type="cellIs" dxfId="112" priority="1" operator="equal">
      <formula>0</formula>
    </cfRule>
  </conditionalFormatting>
  <dataValidations count="2">
    <dataValidation type="list" allowBlank="1" showInputMessage="1" showErrorMessage="1" sqref="B67 G67 H69:H74" xr:uid="{00000000-0002-0000-0000-000000000000}">
      <formula1>"Pass,Fail"</formula1>
    </dataValidation>
    <dataValidation type="list" allowBlank="1" showInputMessage="1" showErrorMessage="1" sqref="K59" xr:uid="{FF6C2C93-5C78-4F9E-8CC9-74AC64A4C1F2}">
      <formula1>$M$57:$M$59</formula1>
    </dataValidation>
  </dataValidations>
  <printOptions horizontalCentered="1" verticalCentered="1"/>
  <pageMargins left="0.75" right="0.25" top="0.25" bottom="0.25" header="0.3" footer="0.3"/>
  <pageSetup scale="55" orientation="portrait" r:id="rId1"/>
  <headerFooter alignWithMargins="0"/>
  <ignoredErrors>
    <ignoredError sqref="D46 J56 B5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CommandButton1_Click">
                <anchor moveWithCells="1" sizeWithCells="1">
                  <from>
                    <xdr:col>9</xdr:col>
                    <xdr:colOff>9525</xdr:colOff>
                    <xdr:row>65</xdr:row>
                    <xdr:rowOff>9525</xdr:rowOff>
                  </from>
                  <to>
                    <xdr:col>9</xdr:col>
                    <xdr:colOff>828675</xdr:colOff>
                    <xdr:row>66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K81"/>
  <sheetViews>
    <sheetView topLeftCell="A47" zoomScaleNormal="100" workbookViewId="0">
      <selection activeCell="D66" sqref="D66"/>
    </sheetView>
  </sheetViews>
  <sheetFormatPr defaultRowHeight="12.75" x14ac:dyDescent="0.2"/>
  <cols>
    <col min="1" max="2" width="12" customWidth="1"/>
    <col min="3" max="3" width="13.85546875" customWidth="1"/>
    <col min="4" max="6" width="12.5703125" customWidth="1"/>
    <col min="7" max="7" width="12.42578125" customWidth="1"/>
    <col min="8" max="8" width="11.7109375" customWidth="1"/>
    <col min="9" max="11" width="12.85546875" customWidth="1"/>
    <col min="13" max="13" width="10.85546875" customWidth="1"/>
  </cols>
  <sheetData>
    <row r="1" spans="1:11" x14ac:dyDescent="0.2">
      <c r="A1" s="75"/>
      <c r="B1" s="76"/>
      <c r="C1" s="76"/>
      <c r="D1" s="76"/>
      <c r="E1" s="76"/>
      <c r="F1" s="76"/>
      <c r="G1" s="76"/>
      <c r="H1" s="76"/>
      <c r="I1" s="76"/>
      <c r="J1" s="76"/>
      <c r="K1" s="77"/>
    </row>
    <row r="2" spans="1:11" x14ac:dyDescent="0.2">
      <c r="A2" s="98" t="s">
        <v>42</v>
      </c>
      <c r="B2" s="99"/>
      <c r="C2" s="99"/>
      <c r="E2" s="82"/>
      <c r="F2" s="82"/>
      <c r="G2" s="78"/>
      <c r="I2" s="99" t="s">
        <v>42</v>
      </c>
      <c r="J2" s="99"/>
      <c r="K2" s="100"/>
    </row>
    <row r="3" spans="1:11" x14ac:dyDescent="0.2">
      <c r="A3" s="98" t="s">
        <v>73</v>
      </c>
      <c r="B3" s="99"/>
      <c r="C3" s="99"/>
      <c r="G3" s="78"/>
      <c r="I3" s="99" t="s">
        <v>76</v>
      </c>
      <c r="J3" s="99"/>
      <c r="K3" s="100"/>
    </row>
    <row r="4" spans="1:11" x14ac:dyDescent="0.2">
      <c r="A4" s="98" t="s">
        <v>74</v>
      </c>
      <c r="B4" s="99"/>
      <c r="C4" s="99"/>
      <c r="I4" s="99" t="s">
        <v>77</v>
      </c>
      <c r="J4" s="99"/>
      <c r="K4" s="100"/>
    </row>
    <row r="5" spans="1:11" x14ac:dyDescent="0.2">
      <c r="A5" s="98" t="s">
        <v>43</v>
      </c>
      <c r="B5" s="99"/>
      <c r="C5" s="99"/>
      <c r="I5" s="99" t="s">
        <v>78</v>
      </c>
      <c r="J5" s="99"/>
      <c r="K5" s="100"/>
    </row>
    <row r="6" spans="1:11" x14ac:dyDescent="0.2">
      <c r="A6" s="98" t="s">
        <v>44</v>
      </c>
      <c r="B6" s="99"/>
      <c r="C6" s="99"/>
      <c r="K6" s="7"/>
    </row>
    <row r="7" spans="1:11" ht="12.75" customHeight="1" x14ac:dyDescent="0.2">
      <c r="A7" s="6"/>
      <c r="K7" s="7"/>
    </row>
    <row r="8" spans="1:11" ht="12.75" customHeight="1" x14ac:dyDescent="0.2">
      <c r="A8" s="23"/>
      <c r="K8" s="7"/>
    </row>
    <row r="9" spans="1:11" ht="12.75" customHeight="1" x14ac:dyDescent="0.2">
      <c r="A9" s="101" t="s">
        <v>34</v>
      </c>
      <c r="B9" s="102"/>
      <c r="C9" s="102"/>
      <c r="D9" s="102"/>
      <c r="E9" s="102"/>
      <c r="F9" s="102"/>
      <c r="G9" s="102"/>
      <c r="H9" s="102"/>
      <c r="I9" s="102"/>
      <c r="J9" s="102"/>
      <c r="K9" s="103"/>
    </row>
    <row r="10" spans="1:11" ht="12.75" customHeight="1" x14ac:dyDescent="0.2">
      <c r="A10" s="6"/>
      <c r="K10" s="7"/>
    </row>
    <row r="11" spans="1:11" ht="12.75" customHeight="1" x14ac:dyDescent="0.2">
      <c r="A11" s="6"/>
      <c r="K11" s="7"/>
    </row>
    <row r="12" spans="1:11" ht="12.75" customHeight="1" x14ac:dyDescent="0.2">
      <c r="A12" s="21" t="s">
        <v>15</v>
      </c>
      <c r="B12" s="162">
        <f>Input!B12</f>
        <v>0</v>
      </c>
      <c r="C12" s="181"/>
      <c r="E12" s="4"/>
      <c r="F12" s="5" t="s">
        <v>26</v>
      </c>
      <c r="G12" s="182">
        <f>Input!G12</f>
        <v>0</v>
      </c>
      <c r="H12" s="183"/>
      <c r="I12" s="183"/>
      <c r="K12" s="7"/>
    </row>
    <row r="13" spans="1:11" ht="12.75" customHeight="1" x14ac:dyDescent="0.2">
      <c r="A13" s="22"/>
      <c r="B13" s="1"/>
      <c r="C13" s="1"/>
      <c r="E13" s="1" t="s">
        <v>13</v>
      </c>
      <c r="K13" s="7"/>
    </row>
    <row r="14" spans="1:11" ht="12.75" customHeight="1" x14ac:dyDescent="0.2">
      <c r="A14" s="21" t="s">
        <v>17</v>
      </c>
      <c r="B14" s="162">
        <f>Input!B14</f>
        <v>0</v>
      </c>
      <c r="C14" s="181"/>
      <c r="E14" s="4"/>
      <c r="F14" s="5" t="s">
        <v>18</v>
      </c>
      <c r="G14" s="162">
        <f>Input!G14</f>
        <v>0</v>
      </c>
      <c r="H14" s="181"/>
      <c r="I14" s="181"/>
      <c r="K14" s="7"/>
    </row>
    <row r="15" spans="1:11" ht="12.75" customHeight="1" x14ac:dyDescent="0.2">
      <c r="A15" s="23"/>
      <c r="B15" s="1"/>
      <c r="C15" s="1"/>
      <c r="E15" s="1"/>
      <c r="F15" s="1"/>
      <c r="G15" s="1"/>
      <c r="H15" s="1"/>
      <c r="I15" s="1"/>
      <c r="K15" s="7"/>
    </row>
    <row r="16" spans="1:11" x14ac:dyDescent="0.2">
      <c r="A16" s="21" t="s">
        <v>16</v>
      </c>
      <c r="B16" s="162">
        <f>Input!B16</f>
        <v>0</v>
      </c>
      <c r="C16" s="181"/>
      <c r="E16" s="1"/>
      <c r="F16" s="5"/>
      <c r="G16" s="114"/>
      <c r="H16" s="114"/>
      <c r="I16" s="114"/>
      <c r="K16" s="7"/>
    </row>
    <row r="17" spans="1:11" ht="13.5" thickBot="1" x14ac:dyDescent="0.25">
      <c r="A17" s="24"/>
      <c r="B17" s="25"/>
      <c r="C17" s="25"/>
      <c r="D17" s="25"/>
      <c r="E17" s="25"/>
      <c r="F17" s="25"/>
      <c r="G17" s="25"/>
      <c r="H17" s="25"/>
      <c r="I17" s="25"/>
      <c r="J17" s="25"/>
      <c r="K17" s="26"/>
    </row>
    <row r="18" spans="1:11" x14ac:dyDescent="0.2">
      <c r="A18" s="6"/>
      <c r="K18" s="7"/>
    </row>
    <row r="19" spans="1:11" x14ac:dyDescent="0.2">
      <c r="A19" s="6"/>
      <c r="K19" s="7"/>
    </row>
    <row r="20" spans="1:11" x14ac:dyDescent="0.2">
      <c r="A20" s="6"/>
      <c r="K20" s="7"/>
    </row>
    <row r="21" spans="1:11" x14ac:dyDescent="0.2">
      <c r="A21" s="6"/>
      <c r="K21" s="7"/>
    </row>
    <row r="22" spans="1:11" x14ac:dyDescent="0.2">
      <c r="A22" s="6"/>
      <c r="K22" s="7"/>
    </row>
    <row r="23" spans="1:11" x14ac:dyDescent="0.2">
      <c r="A23" s="6"/>
      <c r="K23" s="7"/>
    </row>
    <row r="24" spans="1:11" x14ac:dyDescent="0.2">
      <c r="A24" s="6"/>
      <c r="K24" s="7"/>
    </row>
    <row r="25" spans="1:11" x14ac:dyDescent="0.2">
      <c r="A25" s="6"/>
      <c r="K25" s="7"/>
    </row>
    <row r="26" spans="1:11" x14ac:dyDescent="0.2">
      <c r="A26" s="6"/>
      <c r="K26" s="7"/>
    </row>
    <row r="27" spans="1:11" x14ac:dyDescent="0.2">
      <c r="A27" s="6"/>
      <c r="K27" s="7"/>
    </row>
    <row r="28" spans="1:11" x14ac:dyDescent="0.2">
      <c r="A28" s="6"/>
      <c r="K28" s="7"/>
    </row>
    <row r="29" spans="1:11" x14ac:dyDescent="0.2">
      <c r="A29" s="6"/>
      <c r="K29" s="7"/>
    </row>
    <row r="30" spans="1:11" x14ac:dyDescent="0.2">
      <c r="A30" s="6"/>
      <c r="K30" s="7"/>
    </row>
    <row r="31" spans="1:11" x14ac:dyDescent="0.2">
      <c r="A31" s="6"/>
      <c r="K31" s="7"/>
    </row>
    <row r="32" spans="1:11" x14ac:dyDescent="0.2">
      <c r="A32" s="6"/>
      <c r="K32" s="7"/>
    </row>
    <row r="33" spans="1:11" x14ac:dyDescent="0.2">
      <c r="A33" s="6"/>
      <c r="K33" s="7"/>
    </row>
    <row r="34" spans="1:11" x14ac:dyDescent="0.2">
      <c r="A34" s="6"/>
      <c r="K34" s="7"/>
    </row>
    <row r="35" spans="1:11" x14ac:dyDescent="0.2">
      <c r="A35" s="6"/>
      <c r="K35" s="7"/>
    </row>
    <row r="36" spans="1:11" x14ac:dyDescent="0.2">
      <c r="A36" s="6"/>
      <c r="K36" s="7"/>
    </row>
    <row r="37" spans="1:11" ht="13.5" thickBot="1" x14ac:dyDescent="0.25">
      <c r="A37" s="6"/>
      <c r="K37" s="7"/>
    </row>
    <row r="38" spans="1:11" ht="15" customHeight="1" thickBot="1" x14ac:dyDescent="0.25">
      <c r="A38" s="115" t="s">
        <v>45</v>
      </c>
      <c r="B38" s="116"/>
      <c r="C38" s="116"/>
      <c r="D38" s="116"/>
      <c r="E38" s="116"/>
      <c r="F38" s="116"/>
      <c r="G38" s="116"/>
      <c r="H38" s="116"/>
      <c r="I38" s="116"/>
      <c r="J38" s="116"/>
      <c r="K38" s="117"/>
    </row>
    <row r="39" spans="1:11" x14ac:dyDescent="0.2">
      <c r="A39" s="27" t="s">
        <v>46</v>
      </c>
      <c r="B39" s="109" t="s">
        <v>7</v>
      </c>
      <c r="C39" s="110"/>
      <c r="D39" s="111"/>
      <c r="E39" s="104" t="s">
        <v>0</v>
      </c>
      <c r="F39" s="105"/>
      <c r="G39" s="105"/>
      <c r="H39" s="105"/>
      <c r="I39" s="106"/>
      <c r="J39" s="118" t="s">
        <v>69</v>
      </c>
      <c r="K39" s="119"/>
    </row>
    <row r="40" spans="1:11" x14ac:dyDescent="0.2">
      <c r="A40" s="125"/>
      <c r="B40" s="129" t="s">
        <v>1</v>
      </c>
      <c r="C40" s="129"/>
      <c r="D40" s="129"/>
      <c r="E40" s="142" t="s">
        <v>1</v>
      </c>
      <c r="F40" s="143"/>
      <c r="G40" s="143"/>
      <c r="H40" s="143"/>
      <c r="I40" s="143"/>
      <c r="J40" s="143"/>
      <c r="K40" s="144"/>
    </row>
    <row r="41" spans="1:11" x14ac:dyDescent="0.2">
      <c r="A41" s="126"/>
      <c r="B41" s="28" t="s">
        <v>8</v>
      </c>
      <c r="C41" s="29" t="s">
        <v>25</v>
      </c>
      <c r="D41" s="29" t="s">
        <v>24</v>
      </c>
      <c r="E41" s="28" t="s">
        <v>2</v>
      </c>
      <c r="F41" s="16" t="s">
        <v>3</v>
      </c>
      <c r="G41" s="16" t="s">
        <v>4</v>
      </c>
      <c r="H41" s="16" t="s">
        <v>6</v>
      </c>
      <c r="I41" s="16" t="s">
        <v>5</v>
      </c>
      <c r="J41" s="28" t="s">
        <v>66</v>
      </c>
      <c r="K41" s="30" t="s">
        <v>67</v>
      </c>
    </row>
    <row r="42" spans="1:11" ht="15" customHeight="1" x14ac:dyDescent="0.2">
      <c r="A42" s="31" t="s">
        <v>9</v>
      </c>
      <c r="B42" s="29">
        <f>Input!B42*0.001+$K$64</f>
        <v>0</v>
      </c>
      <c r="C42" s="29">
        <f>Input!C42*0.001+$K$64</f>
        <v>0</v>
      </c>
      <c r="D42" s="29">
        <f>Input!D42*0.001+$K$64</f>
        <v>0</v>
      </c>
      <c r="E42" s="29">
        <f>Input!E42*0.001+$K$64</f>
        <v>0</v>
      </c>
      <c r="F42" s="29">
        <f>Input!F42*0.001+$K$64</f>
        <v>0</v>
      </c>
      <c r="G42" s="29">
        <f>Input!G42*0.001+$K$64</f>
        <v>0</v>
      </c>
      <c r="H42" s="29">
        <f>Input!H42*0.001+$K$64</f>
        <v>0</v>
      </c>
      <c r="I42" s="29">
        <f>Input!I42*0.001+$K$64</f>
        <v>0</v>
      </c>
      <c r="J42" s="29">
        <f>Input!J42*0.001+$K$64</f>
        <v>0</v>
      </c>
      <c r="K42" s="32">
        <f>Input!K42*0.001+$K$64</f>
        <v>0</v>
      </c>
    </row>
    <row r="43" spans="1:11" ht="15" customHeight="1" x14ac:dyDescent="0.2">
      <c r="A43" s="31" t="s">
        <v>10</v>
      </c>
      <c r="B43" s="29">
        <f>Input!B43*0.001+$K$64</f>
        <v>0</v>
      </c>
      <c r="C43" s="29">
        <f>Input!C43*0.001+$K$64</f>
        <v>0</v>
      </c>
      <c r="D43" s="29">
        <f>Input!D43*0.001+$K$64</f>
        <v>0</v>
      </c>
      <c r="E43" s="29">
        <f>Input!E43*0.001+$K$64</f>
        <v>0</v>
      </c>
      <c r="F43" s="29">
        <f>Input!F43*0.001+$K$64</f>
        <v>0</v>
      </c>
      <c r="G43" s="29">
        <f>Input!G43*0.001+$K$64</f>
        <v>0</v>
      </c>
      <c r="H43" s="29">
        <f>Input!H43*0.001+$K$64</f>
        <v>0</v>
      </c>
      <c r="I43" s="29">
        <f>Input!I43*0.001+$K$64</f>
        <v>0</v>
      </c>
      <c r="J43" s="29">
        <f>Input!J43*0.001+$K$64</f>
        <v>0</v>
      </c>
      <c r="K43" s="32">
        <f>Input!K43*0.001+$K$64</f>
        <v>0</v>
      </c>
    </row>
    <row r="44" spans="1:11" ht="15" customHeight="1" x14ac:dyDescent="0.2">
      <c r="A44" s="31" t="s">
        <v>11</v>
      </c>
      <c r="B44" s="29">
        <f>Input!B44*0.001+$K$64</f>
        <v>0</v>
      </c>
      <c r="C44" s="29">
        <f>Input!C44*0.001+$K$64</f>
        <v>0</v>
      </c>
      <c r="D44" s="29">
        <f>Input!D44*0.001+$K$64</f>
        <v>0</v>
      </c>
      <c r="E44" s="29">
        <f>Input!E44*0.001+$K$64</f>
        <v>0</v>
      </c>
      <c r="F44" s="29">
        <f>Input!F44*0.001+$K$64</f>
        <v>0</v>
      </c>
      <c r="G44" s="29">
        <f>Input!G44*0.001+$K$64</f>
        <v>0</v>
      </c>
      <c r="H44" s="29">
        <f>Input!H44*0.001+$K$64</f>
        <v>0</v>
      </c>
      <c r="I44" s="29">
        <f>Input!I44*0.001+$K$64</f>
        <v>0</v>
      </c>
      <c r="J44" s="29">
        <f>Input!J44*0.001+$K$64</f>
        <v>0</v>
      </c>
      <c r="K44" s="32">
        <f>Input!K44*0.001+$K$64</f>
        <v>0</v>
      </c>
    </row>
    <row r="45" spans="1:11" ht="15" customHeight="1" x14ac:dyDescent="0.2">
      <c r="A45" s="31" t="s">
        <v>5</v>
      </c>
      <c r="B45" s="29">
        <f>Input!B45*0.001+$K$64</f>
        <v>0</v>
      </c>
      <c r="C45" s="29">
        <f>Input!C45*0.001+$K$64</f>
        <v>0</v>
      </c>
      <c r="D45" s="29">
        <f>Input!D45*0.001+$K$64</f>
        <v>0</v>
      </c>
      <c r="E45" s="29">
        <f>Input!E45*0.001+$K$64</f>
        <v>0</v>
      </c>
      <c r="F45" s="29">
        <f>Input!F45*0.001+$K$64</f>
        <v>0</v>
      </c>
      <c r="G45" s="29">
        <f>Input!G45*0.001+$K$64</f>
        <v>0</v>
      </c>
      <c r="H45" s="29">
        <f>Input!H45*0.001+$K$64</f>
        <v>0</v>
      </c>
      <c r="I45" s="29">
        <f>Input!I45*0.001+$K$64</f>
        <v>0</v>
      </c>
      <c r="J45" s="29">
        <f>Input!J45*0.001+$K$64</f>
        <v>0</v>
      </c>
      <c r="K45" s="32">
        <f>Input!K45*0.001+$K$64</f>
        <v>0</v>
      </c>
    </row>
    <row r="46" spans="1:11" ht="15" customHeight="1" x14ac:dyDescent="0.2">
      <c r="A46" s="31" t="s">
        <v>12</v>
      </c>
      <c r="B46" s="127"/>
      <c r="C46" s="128"/>
      <c r="D46" s="33">
        <f>AVERAGE(D42:D45)</f>
        <v>0</v>
      </c>
      <c r="E46" s="122"/>
      <c r="F46" s="123"/>
      <c r="G46" s="123"/>
      <c r="H46" s="123"/>
      <c r="I46" s="123"/>
      <c r="J46" s="123"/>
      <c r="K46" s="124"/>
    </row>
    <row r="47" spans="1:11" ht="13.5" thickBot="1" x14ac:dyDescent="0.25">
      <c r="A47" s="34"/>
      <c r="B47" s="35" t="s">
        <v>13</v>
      </c>
      <c r="C47" s="35" t="s">
        <v>13</v>
      </c>
      <c r="D47" s="36" t="s">
        <v>14</v>
      </c>
      <c r="E47" s="35"/>
      <c r="F47" s="35"/>
      <c r="G47" s="3"/>
      <c r="H47" s="3"/>
      <c r="I47" s="3"/>
      <c r="K47" s="7"/>
    </row>
    <row r="48" spans="1:11" ht="13.5" thickBot="1" x14ac:dyDescent="0.25">
      <c r="A48" s="115" t="s">
        <v>53</v>
      </c>
      <c r="B48" s="116"/>
      <c r="C48" s="116"/>
      <c r="D48" s="116"/>
      <c r="E48" s="116"/>
      <c r="F48" s="116"/>
      <c r="G48" s="116"/>
      <c r="H48" s="116"/>
      <c r="I48" s="116"/>
      <c r="J48" s="116"/>
      <c r="K48" s="117"/>
    </row>
    <row r="49" spans="1:11" x14ac:dyDescent="0.2">
      <c r="A49" s="37" t="s">
        <v>46</v>
      </c>
      <c r="B49" s="130" t="s">
        <v>7</v>
      </c>
      <c r="C49" s="131"/>
      <c r="D49" s="132"/>
      <c r="E49" s="133" t="s">
        <v>0</v>
      </c>
      <c r="F49" s="134"/>
      <c r="G49" s="134"/>
      <c r="H49" s="134"/>
      <c r="I49" s="135"/>
      <c r="J49" s="120" t="s">
        <v>68</v>
      </c>
      <c r="K49" s="121"/>
    </row>
    <row r="50" spans="1:11" x14ac:dyDescent="0.2">
      <c r="A50" s="154"/>
      <c r="B50" s="157" t="s">
        <v>1</v>
      </c>
      <c r="C50" s="157"/>
      <c r="D50" s="157"/>
      <c r="E50" s="133" t="s">
        <v>1</v>
      </c>
      <c r="F50" s="134"/>
      <c r="G50" s="134"/>
      <c r="H50" s="134"/>
      <c r="I50" s="134"/>
      <c r="J50" s="134"/>
      <c r="K50" s="145"/>
    </row>
    <row r="51" spans="1:11" x14ac:dyDescent="0.2">
      <c r="A51" s="155"/>
      <c r="B51" s="38" t="s">
        <v>8</v>
      </c>
      <c r="C51" s="40" t="s">
        <v>3</v>
      </c>
      <c r="D51" s="39" t="s">
        <v>24</v>
      </c>
      <c r="E51" s="38" t="s">
        <v>2</v>
      </c>
      <c r="F51" s="40" t="s">
        <v>3</v>
      </c>
      <c r="G51" s="40" t="s">
        <v>4</v>
      </c>
      <c r="H51" s="40" t="s">
        <v>6</v>
      </c>
      <c r="I51" s="40" t="s">
        <v>5</v>
      </c>
      <c r="J51" s="38" t="s">
        <v>66</v>
      </c>
      <c r="K51" s="41" t="s">
        <v>67</v>
      </c>
    </row>
    <row r="52" spans="1:11" x14ac:dyDescent="0.2">
      <c r="A52" s="42" t="s">
        <v>9</v>
      </c>
      <c r="B52" s="16">
        <f>Input!B52</f>
        <v>0</v>
      </c>
      <c r="C52" s="43"/>
      <c r="D52" s="43"/>
      <c r="E52" s="43"/>
      <c r="F52" s="43"/>
      <c r="G52" s="16">
        <f>Input!G52</f>
        <v>0</v>
      </c>
      <c r="H52" s="43"/>
      <c r="I52" s="43"/>
      <c r="J52" s="16">
        <f>Input!J52</f>
        <v>0</v>
      </c>
      <c r="K52" s="44"/>
    </row>
    <row r="53" spans="1:11" x14ac:dyDescent="0.2">
      <c r="A53" s="42" t="s">
        <v>10</v>
      </c>
      <c r="B53" s="16">
        <f>Input!B53</f>
        <v>0</v>
      </c>
      <c r="C53" s="43"/>
      <c r="D53" s="43"/>
      <c r="E53" s="43"/>
      <c r="F53" s="43"/>
      <c r="G53" s="16">
        <f>Input!G53</f>
        <v>0</v>
      </c>
      <c r="H53" s="43"/>
      <c r="I53" s="43"/>
      <c r="J53" s="16">
        <f>Input!J53</f>
        <v>0</v>
      </c>
      <c r="K53" s="44"/>
    </row>
    <row r="54" spans="1:11" x14ac:dyDescent="0.2">
      <c r="A54" s="42" t="s">
        <v>11</v>
      </c>
      <c r="B54" s="16">
        <f>Input!B54</f>
        <v>0</v>
      </c>
      <c r="C54" s="43"/>
      <c r="D54" s="43"/>
      <c r="E54" s="43"/>
      <c r="F54" s="43"/>
      <c r="G54" s="16">
        <f>Input!G54</f>
        <v>0</v>
      </c>
      <c r="H54" s="43"/>
      <c r="I54" s="43"/>
      <c r="J54" s="16">
        <f>Input!J54</f>
        <v>0</v>
      </c>
      <c r="K54" s="44"/>
    </row>
    <row r="55" spans="1:11" x14ac:dyDescent="0.2">
      <c r="A55" s="42" t="s">
        <v>5</v>
      </c>
      <c r="B55" s="16">
        <f>Input!B55</f>
        <v>0</v>
      </c>
      <c r="C55" s="43"/>
      <c r="D55" s="43"/>
      <c r="E55" s="43"/>
      <c r="F55" s="43"/>
      <c r="G55" s="16">
        <f>Input!G55</f>
        <v>0</v>
      </c>
      <c r="H55" s="43"/>
      <c r="I55" s="43"/>
      <c r="J55" s="16">
        <f>Input!J55</f>
        <v>0</v>
      </c>
      <c r="K55" s="44"/>
    </row>
    <row r="56" spans="1:11" x14ac:dyDescent="0.2">
      <c r="A56" s="42" t="s">
        <v>47</v>
      </c>
      <c r="B56" s="45">
        <f>AVERAGE(B52:B55)</f>
        <v>0</v>
      </c>
      <c r="C56" s="46"/>
      <c r="D56" s="46"/>
      <c r="E56" s="46"/>
      <c r="F56" s="46"/>
      <c r="G56" s="45">
        <f>AVERAGE(G52:G55)</f>
        <v>0</v>
      </c>
      <c r="H56" s="46"/>
      <c r="I56" s="46"/>
      <c r="J56" s="45">
        <f>AVERAGE(J52:J55)</f>
        <v>0</v>
      </c>
      <c r="K56" s="48"/>
    </row>
    <row r="57" spans="1:11" x14ac:dyDescent="0.2">
      <c r="A57" s="49"/>
      <c r="B57" s="50"/>
      <c r="C57" s="50"/>
      <c r="D57" s="50"/>
      <c r="E57" s="50"/>
      <c r="F57" s="50"/>
      <c r="G57" s="50"/>
      <c r="H57" s="50"/>
      <c r="I57" s="50"/>
      <c r="K57" s="7"/>
    </row>
    <row r="58" spans="1:11" ht="14.25" customHeight="1" x14ac:dyDescent="0.2">
      <c r="A58" s="34"/>
      <c r="B58" s="156" t="s">
        <v>35</v>
      </c>
      <c r="C58" s="156"/>
      <c r="D58" s="156"/>
      <c r="E58" s="156"/>
      <c r="F58" s="156"/>
      <c r="G58" s="156"/>
      <c r="H58" s="156"/>
      <c r="I58" s="3"/>
      <c r="K58" s="7"/>
    </row>
    <row r="59" spans="1:11" ht="14.25" customHeight="1" x14ac:dyDescent="0.2">
      <c r="A59" s="34"/>
      <c r="B59" s="51"/>
      <c r="C59" s="51"/>
      <c r="D59" s="51"/>
      <c r="E59" s="51"/>
      <c r="F59" s="51"/>
      <c r="G59" s="51"/>
      <c r="H59" s="51"/>
      <c r="I59" s="3"/>
      <c r="K59" s="7"/>
    </row>
    <row r="60" spans="1:11" ht="15.95" customHeight="1" x14ac:dyDescent="0.2">
      <c r="A60" s="12" t="s">
        <v>30</v>
      </c>
      <c r="B60" s="20">
        <f>Input!B60</f>
        <v>0</v>
      </c>
      <c r="C60" s="13" t="s">
        <v>19</v>
      </c>
      <c r="D60" s="20">
        <f>Input!D60</f>
        <v>0</v>
      </c>
      <c r="E60" s="61" t="s">
        <v>81</v>
      </c>
      <c r="F60" s="162">
        <f>Input!F60</f>
        <v>0</v>
      </c>
      <c r="G60" s="162"/>
      <c r="H60" s="13" t="s">
        <v>20</v>
      </c>
      <c r="I60" s="59">
        <f>Input!I60</f>
        <v>0</v>
      </c>
      <c r="K60" s="7"/>
    </row>
    <row r="61" spans="1:11" s="3" customFormat="1" ht="15.95" customHeight="1" x14ac:dyDescent="0.2">
      <c r="A61" s="12" t="s">
        <v>29</v>
      </c>
      <c r="B61" s="52">
        <f>Input!B61</f>
        <v>0</v>
      </c>
      <c r="C61" s="13" t="s">
        <v>21</v>
      </c>
      <c r="D61" s="20">
        <f>Input!D61</f>
        <v>0</v>
      </c>
      <c r="E61" s="151" t="s">
        <v>79</v>
      </c>
      <c r="F61" s="151"/>
      <c r="G61" s="53">
        <f>Input!G61</f>
        <v>0</v>
      </c>
      <c r="I61" s="13" t="s">
        <v>22</v>
      </c>
      <c r="J61" s="162">
        <f>Input!J61</f>
        <v>0</v>
      </c>
      <c r="K61" s="175"/>
    </row>
    <row r="62" spans="1:11" s="3" customFormat="1" ht="15.95" hidden="1" customHeight="1" x14ac:dyDescent="0.2">
      <c r="A62" s="159" t="s">
        <v>48</v>
      </c>
      <c r="B62" s="160"/>
      <c r="C62" s="160"/>
      <c r="D62" s="13" t="s">
        <v>40</v>
      </c>
      <c r="E62" s="54">
        <f>B56</f>
        <v>0</v>
      </c>
      <c r="F62" s="55" t="s">
        <v>41</v>
      </c>
      <c r="G62" s="54" t="e">
        <f>AVERAGE(F56)</f>
        <v>#DIV/0!</v>
      </c>
      <c r="J62"/>
      <c r="K62" s="7"/>
    </row>
    <row r="63" spans="1:11" s="3" customFormat="1" ht="15.95" customHeight="1" x14ac:dyDescent="0.2">
      <c r="A63" s="138" t="s">
        <v>31</v>
      </c>
      <c r="B63" s="139"/>
      <c r="C63" s="56">
        <f>D46</f>
        <v>0</v>
      </c>
      <c r="D63" s="151" t="s">
        <v>63</v>
      </c>
      <c r="E63" s="151"/>
      <c r="F63" s="20">
        <f>Input!F63</f>
        <v>0</v>
      </c>
      <c r="G63" s="151" t="s">
        <v>64</v>
      </c>
      <c r="H63" s="151"/>
      <c r="I63" s="59">
        <f>Input!I63</f>
        <v>0</v>
      </c>
      <c r="J63"/>
      <c r="K63" s="7"/>
    </row>
    <row r="64" spans="1:11" s="3" customFormat="1" ht="15.95" customHeight="1" x14ac:dyDescent="0.2">
      <c r="A64" s="138" t="s">
        <v>32</v>
      </c>
      <c r="B64" s="139"/>
      <c r="C64" s="139"/>
      <c r="D64" s="139"/>
      <c r="E64" s="57">
        <f>IF(ISBLANK(F63),"",C63*(1+0.0000062*(68-F63)))</f>
        <v>0</v>
      </c>
      <c r="I64" s="87" t="s">
        <v>80</v>
      </c>
      <c r="J64" s="88"/>
      <c r="K64" s="89">
        <f>Input!K64</f>
        <v>0</v>
      </c>
    </row>
    <row r="65" spans="1:11" s="3" customFormat="1" ht="15.95" customHeight="1" x14ac:dyDescent="0.2">
      <c r="A65" s="12" t="s">
        <v>33</v>
      </c>
      <c r="C65" s="13" t="s">
        <v>60</v>
      </c>
      <c r="D65" s="53">
        <f>Input!D65</f>
        <v>0</v>
      </c>
      <c r="E65" s="13" t="s">
        <v>61</v>
      </c>
      <c r="F65" s="53">
        <f>Input!F65</f>
        <v>0</v>
      </c>
      <c r="G65" s="14"/>
      <c r="I65" s="90" t="s">
        <v>82</v>
      </c>
      <c r="J65" s="91"/>
      <c r="K65" s="84"/>
    </row>
    <row r="66" spans="1:11" s="3" customFormat="1" ht="15.95" customHeight="1" x14ac:dyDescent="0.2">
      <c r="A66" s="12" t="s">
        <v>70</v>
      </c>
      <c r="C66" s="13" t="s">
        <v>40</v>
      </c>
      <c r="D66" s="81" t="s">
        <v>84</v>
      </c>
      <c r="E66" s="13" t="s">
        <v>41</v>
      </c>
      <c r="F66" s="81" t="s">
        <v>84</v>
      </c>
      <c r="G66" s="14" t="s">
        <v>71</v>
      </c>
      <c r="H66" s="9" t="s">
        <v>84</v>
      </c>
      <c r="J66"/>
      <c r="K66" s="7"/>
    </row>
    <row r="67" spans="1:11" s="3" customFormat="1" ht="15.95" customHeight="1" thickBot="1" x14ac:dyDescent="0.25">
      <c r="A67" s="58"/>
      <c r="B67" s="59"/>
      <c r="C67" s="13"/>
      <c r="D67" s="60"/>
      <c r="E67" s="61"/>
      <c r="F67" s="62"/>
      <c r="G67" s="59"/>
      <c r="J67"/>
      <c r="K67" s="7"/>
    </row>
    <row r="68" spans="1:11" s="3" customFormat="1" ht="15.95" customHeight="1" thickBot="1" x14ac:dyDescent="0.25">
      <c r="A68" s="166" t="s">
        <v>52</v>
      </c>
      <c r="B68" s="167"/>
      <c r="C68" s="167"/>
      <c r="D68" s="167"/>
      <c r="E68" s="167"/>
      <c r="F68" s="167"/>
      <c r="G68" s="167"/>
      <c r="H68" s="167"/>
      <c r="I68" s="168"/>
      <c r="J68"/>
      <c r="K68" s="7"/>
    </row>
    <row r="69" spans="1:11" s="3" customFormat="1" ht="14.25" thickTop="1" thickBot="1" x14ac:dyDescent="0.25">
      <c r="A69" s="63" t="s">
        <v>49</v>
      </c>
      <c r="B69" s="64" t="s">
        <v>50</v>
      </c>
      <c r="C69" s="64" t="s">
        <v>51</v>
      </c>
      <c r="D69" s="64" t="s">
        <v>54</v>
      </c>
      <c r="E69" s="65" t="s">
        <v>55</v>
      </c>
      <c r="F69" s="149" t="s">
        <v>38</v>
      </c>
      <c r="G69" s="158"/>
      <c r="H69" s="16" t="str">
        <f>Input!H69</f>
        <v>Pass</v>
      </c>
      <c r="I69" s="94"/>
      <c r="J69" s="169" t="s">
        <v>87</v>
      </c>
      <c r="K69" s="170"/>
    </row>
    <row r="70" spans="1:11" s="3" customFormat="1" ht="13.5" thickBot="1" x14ac:dyDescent="0.25">
      <c r="A70" s="42" t="s">
        <v>56</v>
      </c>
      <c r="B70" s="15" t="str">
        <f>Input!B70</f>
        <v>OK</v>
      </c>
      <c r="C70" s="16" t="str">
        <f>Input!C70</f>
        <v>OK</v>
      </c>
      <c r="D70" s="17">
        <f>IFERROR(B70+C70+E70,0)</f>
        <v>0</v>
      </c>
      <c r="E70" s="18">
        <f>Input!E70</f>
        <v>0.125</v>
      </c>
      <c r="F70" s="149" t="s">
        <v>62</v>
      </c>
      <c r="G70" s="150"/>
      <c r="H70" s="16" t="str">
        <f>Input!H70</f>
        <v>Pass</v>
      </c>
      <c r="I70" s="94"/>
      <c r="J70" s="171"/>
      <c r="K70" s="172"/>
    </row>
    <row r="71" spans="1:11" s="3" customFormat="1" ht="13.5" thickBot="1" x14ac:dyDescent="0.25">
      <c r="A71" s="42" t="s">
        <v>57</v>
      </c>
      <c r="B71" s="15" t="str">
        <f>Input!B71</f>
        <v>OK</v>
      </c>
      <c r="C71" s="16" t="str">
        <f>Input!C71</f>
        <v>OK</v>
      </c>
      <c r="D71" s="17">
        <f>IFERROR(B71+C71+E71,0)</f>
        <v>0</v>
      </c>
      <c r="E71" s="18">
        <f>Input!E71</f>
        <v>0.125</v>
      </c>
      <c r="F71" s="149" t="s">
        <v>36</v>
      </c>
      <c r="G71" s="158"/>
      <c r="H71" s="16" t="str">
        <f>Input!H71</f>
        <v>Pass</v>
      </c>
      <c r="I71" s="94"/>
      <c r="J71" s="171"/>
      <c r="K71" s="172"/>
    </row>
    <row r="72" spans="1:11" s="3" customFormat="1" ht="13.5" thickBot="1" x14ac:dyDescent="0.25">
      <c r="A72" s="42" t="s">
        <v>58</v>
      </c>
      <c r="B72" s="15" t="str">
        <f>Input!B72</f>
        <v>OK</v>
      </c>
      <c r="C72" s="16" t="str">
        <f>Input!C72</f>
        <v>OK</v>
      </c>
      <c r="D72" s="17">
        <f>IFERROR(B72+C72+E72,0)</f>
        <v>0</v>
      </c>
      <c r="E72" s="18">
        <f>Input!E72</f>
        <v>0.125</v>
      </c>
      <c r="F72" s="149" t="s">
        <v>39</v>
      </c>
      <c r="G72" s="158"/>
      <c r="H72" s="16" t="str">
        <f>Input!H72</f>
        <v>Pass</v>
      </c>
      <c r="I72" s="94"/>
      <c r="J72" s="171"/>
      <c r="K72" s="172"/>
    </row>
    <row r="73" spans="1:11" s="3" customFormat="1" ht="13.5" thickBot="1" x14ac:dyDescent="0.25">
      <c r="A73" s="42" t="s">
        <v>59</v>
      </c>
      <c r="B73" s="15" t="str">
        <f>Input!B73</f>
        <v>OK</v>
      </c>
      <c r="C73" s="16" t="str">
        <f>Input!C73</f>
        <v>OK</v>
      </c>
      <c r="D73" s="17">
        <f>IFERROR(B73+C73+E73,0)</f>
        <v>0</v>
      </c>
      <c r="E73" s="18">
        <f>Input!E73</f>
        <v>0.125</v>
      </c>
      <c r="F73" s="149" t="s">
        <v>37</v>
      </c>
      <c r="G73" s="158"/>
      <c r="H73" s="16" t="str">
        <f>Input!H73</f>
        <v>Pass</v>
      </c>
      <c r="I73" s="94"/>
      <c r="J73" s="171">
        <f>Input!$K$59</f>
        <v>0</v>
      </c>
      <c r="K73" s="172"/>
    </row>
    <row r="74" spans="1:11" s="3" customFormat="1" ht="13.5" thickBot="1" x14ac:dyDescent="0.25">
      <c r="A74" s="146" t="s">
        <v>75</v>
      </c>
      <c r="B74" s="147"/>
      <c r="C74" s="147"/>
      <c r="D74" s="147"/>
      <c r="E74" s="148"/>
      <c r="F74" s="152" t="s">
        <v>65</v>
      </c>
      <c r="G74" s="153"/>
      <c r="H74" s="16" t="str">
        <f>Input!H74</f>
        <v>Pass</v>
      </c>
      <c r="I74" s="95"/>
      <c r="J74" s="173"/>
      <c r="K74" s="174"/>
    </row>
    <row r="75" spans="1:11" s="2" customFormat="1" ht="14.25" x14ac:dyDescent="0.2">
      <c r="A75" s="68" t="s">
        <v>27</v>
      </c>
      <c r="B75" s="176">
        <f>Input!B75</f>
        <v>0</v>
      </c>
      <c r="C75" s="176"/>
      <c r="D75" s="176"/>
      <c r="E75" s="176"/>
      <c r="F75" s="176"/>
      <c r="G75" s="176"/>
      <c r="H75" s="176"/>
      <c r="I75" s="177"/>
      <c r="J75"/>
      <c r="K75" s="7"/>
    </row>
    <row r="76" spans="1:11" s="2" customFormat="1" ht="14.25" x14ac:dyDescent="0.2">
      <c r="A76" s="69"/>
      <c r="B76" s="178">
        <f>Input!B76</f>
        <v>0</v>
      </c>
      <c r="C76" s="178"/>
      <c r="D76" s="178"/>
      <c r="E76" s="178"/>
      <c r="F76" s="178"/>
      <c r="G76" s="178"/>
      <c r="H76" s="178"/>
      <c r="I76" s="178"/>
      <c r="J76"/>
      <c r="K76" s="7"/>
    </row>
    <row r="77" spans="1:11" s="2" customFormat="1" ht="14.25" x14ac:dyDescent="0.2">
      <c r="A77" s="69"/>
      <c r="B77" s="179"/>
      <c r="C77" s="179"/>
      <c r="D77" s="179"/>
      <c r="E77" s="179"/>
      <c r="F77" s="179"/>
      <c r="G77" s="179"/>
      <c r="H77" s="179"/>
      <c r="I77" s="179"/>
      <c r="J77"/>
      <c r="K77" s="7"/>
    </row>
    <row r="78" spans="1:11" s="2" customFormat="1" ht="14.25" x14ac:dyDescent="0.2">
      <c r="A78" s="69"/>
      <c r="B78" s="180">
        <f>Input!B78</f>
        <v>0</v>
      </c>
      <c r="C78" s="180"/>
      <c r="D78" s="180"/>
      <c r="E78" s="70"/>
      <c r="F78" s="70"/>
      <c r="G78" s="70"/>
      <c r="H78" s="70"/>
      <c r="I78" s="70"/>
      <c r="J78"/>
      <c r="K78" s="7"/>
    </row>
    <row r="79" spans="1:11" s="2" customFormat="1" ht="14.25" x14ac:dyDescent="0.2">
      <c r="A79" s="69"/>
      <c r="B79" s="162">
        <f>Input!B79</f>
        <v>0</v>
      </c>
      <c r="C79" s="162"/>
      <c r="D79" s="162"/>
      <c r="E79" s="71"/>
      <c r="F79" s="162" t="str">
        <f>Input!F79</f>
        <v>Roy Murray</v>
      </c>
      <c r="G79" s="162"/>
      <c r="H79" s="162"/>
      <c r="I79" s="51"/>
      <c r="J79"/>
      <c r="K79" s="7"/>
    </row>
    <row r="80" spans="1:11" ht="14.25" x14ac:dyDescent="0.2">
      <c r="A80" s="34"/>
      <c r="B80" s="161" t="s">
        <v>28</v>
      </c>
      <c r="C80" s="161"/>
      <c r="D80" s="161"/>
      <c r="E80" s="71"/>
      <c r="F80" s="161" t="s">
        <v>23</v>
      </c>
      <c r="G80" s="161"/>
      <c r="H80" s="161"/>
      <c r="I80" s="51"/>
      <c r="K80" s="7"/>
    </row>
    <row r="81" spans="1:11" ht="13.5" thickBot="1" x14ac:dyDescent="0.25">
      <c r="A81" s="72"/>
      <c r="B81" s="73"/>
      <c r="C81" s="73"/>
      <c r="D81" s="73"/>
      <c r="E81" s="73"/>
      <c r="F81" s="74"/>
      <c r="G81" s="74"/>
      <c r="H81" s="74"/>
      <c r="I81" s="73"/>
      <c r="J81" s="25"/>
      <c r="K81" s="26"/>
    </row>
  </sheetData>
  <sheetProtection algorithmName="SHA-512" hashValue="hQE9BnAqB0RXvLe8q3m+Ht33z0XS5LCmdVummp8ZTmBZzS5eTY+PJSBtUP4Gh0Evg3P5vfkemcQ74zLmWtCVGQ==" saltValue="EYXDXgVODA0hcrDpnPDtvA==" spinCount="100000" sheet="1" objects="1" scenarios="1" selectLockedCells="1"/>
  <mergeCells count="58">
    <mergeCell ref="E61:F61"/>
    <mergeCell ref="B16:C16"/>
    <mergeCell ref="G16:I16"/>
    <mergeCell ref="B12:C12"/>
    <mergeCell ref="G12:I12"/>
    <mergeCell ref="B14:C14"/>
    <mergeCell ref="G14:I14"/>
    <mergeCell ref="B46:C46"/>
    <mergeCell ref="E46:K46"/>
    <mergeCell ref="A48:K48"/>
    <mergeCell ref="B49:D49"/>
    <mergeCell ref="E49:I49"/>
    <mergeCell ref="J49:K49"/>
    <mergeCell ref="A38:K38"/>
    <mergeCell ref="B39:D39"/>
    <mergeCell ref="E39:I39"/>
    <mergeCell ref="A40:A41"/>
    <mergeCell ref="B40:D40"/>
    <mergeCell ref="E40:K40"/>
    <mergeCell ref="A50:A51"/>
    <mergeCell ref="B50:D50"/>
    <mergeCell ref="E50:K50"/>
    <mergeCell ref="B80:D80"/>
    <mergeCell ref="F80:H80"/>
    <mergeCell ref="A74:E74"/>
    <mergeCell ref="F70:G70"/>
    <mergeCell ref="B75:I75"/>
    <mergeCell ref="B76:I77"/>
    <mergeCell ref="B79:D79"/>
    <mergeCell ref="F79:H79"/>
    <mergeCell ref="F72:G72"/>
    <mergeCell ref="F74:G74"/>
    <mergeCell ref="F71:G71"/>
    <mergeCell ref="F73:G73"/>
    <mergeCell ref="B78:D78"/>
    <mergeCell ref="A64:D64"/>
    <mergeCell ref="F69:G69"/>
    <mergeCell ref="A68:I68"/>
    <mergeCell ref="A62:C62"/>
    <mergeCell ref="A63:B63"/>
    <mergeCell ref="D63:E63"/>
    <mergeCell ref="G63:H63"/>
    <mergeCell ref="J69:K72"/>
    <mergeCell ref="J73:K74"/>
    <mergeCell ref="A9:K9"/>
    <mergeCell ref="A2:C2"/>
    <mergeCell ref="A3:C3"/>
    <mergeCell ref="A4:C4"/>
    <mergeCell ref="A5:C5"/>
    <mergeCell ref="A6:C6"/>
    <mergeCell ref="I2:K2"/>
    <mergeCell ref="I3:K3"/>
    <mergeCell ref="I4:K4"/>
    <mergeCell ref="I5:K5"/>
    <mergeCell ref="B58:H58"/>
    <mergeCell ref="F60:G60"/>
    <mergeCell ref="J61:K61"/>
    <mergeCell ref="J39:K39"/>
  </mergeCells>
  <conditionalFormatting sqref="B70:C73">
    <cfRule type="cellIs" dxfId="111" priority="146" operator="notBetween">
      <formula>IF($C$63&lt;3.11,0.985,0.965)</formula>
      <formula>IF($C$63&lt;3.11,1.015,1.035)</formula>
    </cfRule>
  </conditionalFormatting>
  <conditionalFormatting sqref="E62 G62">
    <cfRule type="cellIs" dxfId="110" priority="145" operator="greaterThan">
      <formula>250</formula>
    </cfRule>
  </conditionalFormatting>
  <conditionalFormatting sqref="H69">
    <cfRule type="cellIs" dxfId="109" priority="103" operator="equal">
      <formula>"Fail"</formula>
    </cfRule>
    <cfRule type="cellIs" dxfId="108" priority="142" operator="equal">
      <formula>0</formula>
    </cfRule>
  </conditionalFormatting>
  <conditionalFormatting sqref="B14:C14">
    <cfRule type="cellIs" dxfId="107" priority="141" operator="equal">
      <formula>0</formula>
    </cfRule>
  </conditionalFormatting>
  <conditionalFormatting sqref="B16:C16">
    <cfRule type="cellIs" dxfId="106" priority="140" operator="equal">
      <formula>0</formula>
    </cfRule>
  </conditionalFormatting>
  <conditionalFormatting sqref="G14:I14">
    <cfRule type="cellIs" dxfId="105" priority="138" operator="equal">
      <formula>0</formula>
    </cfRule>
  </conditionalFormatting>
  <conditionalFormatting sqref="B70">
    <cfRule type="cellIs" dxfId="104" priority="98" operator="equal">
      <formula>0</formula>
    </cfRule>
    <cfRule type="cellIs" dxfId="103" priority="137" operator="equal">
      <formula>"OK"</formula>
    </cfRule>
  </conditionalFormatting>
  <conditionalFormatting sqref="C70">
    <cfRule type="cellIs" dxfId="102" priority="94" operator="equal">
      <formula>0</formula>
    </cfRule>
    <cfRule type="cellIs" dxfId="101" priority="136" operator="equal">
      <formula>"OK"</formula>
    </cfRule>
  </conditionalFormatting>
  <conditionalFormatting sqref="B71">
    <cfRule type="cellIs" dxfId="100" priority="97" operator="equal">
      <formula>0</formula>
    </cfRule>
    <cfRule type="cellIs" dxfId="99" priority="134" operator="equal">
      <formula>"OK"</formula>
    </cfRule>
  </conditionalFormatting>
  <conditionalFormatting sqref="C71">
    <cfRule type="cellIs" dxfId="98" priority="93" operator="equal">
      <formula>0</formula>
    </cfRule>
    <cfRule type="cellIs" dxfId="97" priority="133" operator="equal">
      <formula>"OK"</formula>
    </cfRule>
  </conditionalFormatting>
  <conditionalFormatting sqref="B72">
    <cfRule type="cellIs" dxfId="96" priority="96" operator="equal">
      <formula>0</formula>
    </cfRule>
    <cfRule type="cellIs" dxfId="95" priority="132" operator="equal">
      <formula>"OK"</formula>
    </cfRule>
  </conditionalFormatting>
  <conditionalFormatting sqref="C72">
    <cfRule type="cellIs" dxfId="94" priority="92" operator="equal">
      <formula>0</formula>
    </cfRule>
    <cfRule type="cellIs" dxfId="93" priority="131" operator="equal">
      <formula>"OK"</formula>
    </cfRule>
  </conditionalFormatting>
  <conditionalFormatting sqref="B73">
    <cfRule type="cellIs" dxfId="92" priority="95" operator="equal">
      <formula>0</formula>
    </cfRule>
    <cfRule type="cellIs" dxfId="91" priority="130" operator="equal">
      <formula>"OK"</formula>
    </cfRule>
  </conditionalFormatting>
  <conditionalFormatting sqref="C73">
    <cfRule type="cellIs" dxfId="90" priority="91" operator="equal">
      <formula>0</formula>
    </cfRule>
    <cfRule type="cellIs" dxfId="89" priority="129" operator="equal">
      <formula>"OK"</formula>
    </cfRule>
  </conditionalFormatting>
  <conditionalFormatting sqref="D70">
    <cfRule type="cellIs" dxfId="88" priority="86" operator="lessThanOrEqual">
      <formula>$E$70</formula>
    </cfRule>
    <cfRule type="cellIs" dxfId="87" priority="128" operator="equal">
      <formula>0</formula>
    </cfRule>
  </conditionalFormatting>
  <conditionalFormatting sqref="B75:I75">
    <cfRule type="cellIs" dxfId="86" priority="124" operator="equal">
      <formula>0</formula>
    </cfRule>
  </conditionalFormatting>
  <conditionalFormatting sqref="B76:I77">
    <cfRule type="cellIs" dxfId="85" priority="123" operator="equal">
      <formula>0</formula>
    </cfRule>
  </conditionalFormatting>
  <conditionalFormatting sqref="B60">
    <cfRule type="cellIs" dxfId="84" priority="119" operator="equal">
      <formula>0</formula>
    </cfRule>
  </conditionalFormatting>
  <conditionalFormatting sqref="B61">
    <cfRule type="cellIs" dxfId="83" priority="118" operator="equal">
      <formula>0</formula>
    </cfRule>
  </conditionalFormatting>
  <conditionalFormatting sqref="D60">
    <cfRule type="cellIs" dxfId="82" priority="117" operator="equal">
      <formula>0</formula>
    </cfRule>
  </conditionalFormatting>
  <conditionalFormatting sqref="D61">
    <cfRule type="cellIs" dxfId="81" priority="116" operator="equal">
      <formula>0</formula>
    </cfRule>
  </conditionalFormatting>
  <conditionalFormatting sqref="F60:G60">
    <cfRule type="cellIs" dxfId="80" priority="115" operator="equal">
      <formula>0</formula>
    </cfRule>
  </conditionalFormatting>
  <conditionalFormatting sqref="I60">
    <cfRule type="cellIs" dxfId="79" priority="113" operator="equal">
      <formula>0</formula>
    </cfRule>
  </conditionalFormatting>
  <conditionalFormatting sqref="J61:K61">
    <cfRule type="cellIs" dxfId="78" priority="112" operator="equal">
      <formula>0</formula>
    </cfRule>
  </conditionalFormatting>
  <conditionalFormatting sqref="F63">
    <cfRule type="cellIs" dxfId="77" priority="111" operator="equal">
      <formula>0</formula>
    </cfRule>
  </conditionalFormatting>
  <conditionalFormatting sqref="H70">
    <cfRule type="cellIs" dxfId="76" priority="101" operator="equal">
      <formula>"Fail"</formula>
    </cfRule>
    <cfRule type="cellIs" dxfId="75" priority="102" operator="equal">
      <formula>0</formula>
    </cfRule>
  </conditionalFormatting>
  <conditionalFormatting sqref="H71:H74">
    <cfRule type="cellIs" dxfId="74" priority="99" operator="equal">
      <formula>"Fail"</formula>
    </cfRule>
    <cfRule type="cellIs" dxfId="73" priority="100" operator="equal">
      <formula>0</formula>
    </cfRule>
  </conditionalFormatting>
  <conditionalFormatting sqref="E70">
    <cfRule type="cellIs" dxfId="72" priority="90" operator="equal">
      <formula>0</formula>
    </cfRule>
  </conditionalFormatting>
  <conditionalFormatting sqref="E71">
    <cfRule type="cellIs" dxfId="71" priority="89" operator="equal">
      <formula>0</formula>
    </cfRule>
  </conditionalFormatting>
  <conditionalFormatting sqref="E72">
    <cfRule type="cellIs" dxfId="70" priority="88" operator="equal">
      <formula>0</formula>
    </cfRule>
  </conditionalFormatting>
  <conditionalFormatting sqref="E73">
    <cfRule type="cellIs" dxfId="69" priority="87" operator="equal">
      <formula>0</formula>
    </cfRule>
  </conditionalFormatting>
  <conditionalFormatting sqref="D72">
    <cfRule type="cellIs" dxfId="68" priority="85" operator="lessThanOrEqual">
      <formula>$E$72</formula>
    </cfRule>
  </conditionalFormatting>
  <conditionalFormatting sqref="D71">
    <cfRule type="cellIs" dxfId="67" priority="84" operator="lessThanOrEqual">
      <formula>$E$71</formula>
    </cfRule>
  </conditionalFormatting>
  <conditionalFormatting sqref="D73">
    <cfRule type="cellIs" dxfId="66" priority="83" operator="lessThanOrEqual">
      <formula>$E$73</formula>
    </cfRule>
  </conditionalFormatting>
  <conditionalFormatting sqref="B12:C12">
    <cfRule type="cellIs" dxfId="65" priority="81" operator="equal">
      <formula>0</formula>
    </cfRule>
  </conditionalFormatting>
  <conditionalFormatting sqref="G12:I12">
    <cfRule type="cellIs" dxfId="64" priority="80" operator="equal">
      <formula>0</formula>
    </cfRule>
  </conditionalFormatting>
  <conditionalFormatting sqref="I63">
    <cfRule type="cellIs" dxfId="63" priority="79" operator="equal">
      <formula>0</formula>
    </cfRule>
  </conditionalFormatting>
  <conditionalFormatting sqref="B52:B55">
    <cfRule type="cellIs" dxfId="62" priority="73" operator="equal">
      <formula>0</formula>
    </cfRule>
  </conditionalFormatting>
  <conditionalFormatting sqref="B79:D79">
    <cfRule type="cellIs" dxfId="61" priority="70" operator="equal">
      <formula>0</formula>
    </cfRule>
  </conditionalFormatting>
  <conditionalFormatting sqref="B78:D78">
    <cfRule type="cellIs" dxfId="60" priority="69" operator="equal">
      <formula>0</formula>
    </cfRule>
  </conditionalFormatting>
  <conditionalFormatting sqref="C42:D45">
    <cfRule type="cellIs" dxfId="59" priority="153" stopIfTrue="1" operator="lessThan">
      <formula>$D$46*(1-0.0025)</formula>
    </cfRule>
    <cfRule type="cellIs" dxfId="58" priority="154" stopIfTrue="1" operator="greaterThan">
      <formula>$D$46*(1+0.0025)</formula>
    </cfRule>
  </conditionalFormatting>
  <conditionalFormatting sqref="B42:B45 E42:K45">
    <cfRule type="cellIs" dxfId="57" priority="67" operator="greaterThan">
      <formula>$D$46*(1+0.005)</formula>
    </cfRule>
    <cfRule type="cellIs" dxfId="56" priority="68" operator="lessThan">
      <formula>$D$46*(1-0.005)</formula>
    </cfRule>
    <cfRule type="cellIs" dxfId="55" priority="121" operator="equal">
      <formula>0</formula>
    </cfRule>
  </conditionalFormatting>
  <conditionalFormatting sqref="G61">
    <cfRule type="cellIs" dxfId="54" priority="66" operator="equal">
      <formula>0</formula>
    </cfRule>
  </conditionalFormatting>
  <conditionalFormatting sqref="G52:G55">
    <cfRule type="cellIs" dxfId="53" priority="60" operator="equal">
      <formula>0</formula>
    </cfRule>
  </conditionalFormatting>
  <conditionalFormatting sqref="B52:B56">
    <cfRule type="cellIs" dxfId="52" priority="143" operator="greaterThan">
      <formula>250</formula>
    </cfRule>
    <cfRule type="cellIs" dxfId="51" priority="144" operator="lessThan">
      <formula>34</formula>
    </cfRule>
  </conditionalFormatting>
  <conditionalFormatting sqref="G52:G56">
    <cfRule type="cellIs" dxfId="50" priority="61" operator="greaterThan">
      <formula>250</formula>
    </cfRule>
    <cfRule type="cellIs" dxfId="49" priority="62" operator="lessThan">
      <formula>34</formula>
    </cfRule>
  </conditionalFormatting>
  <conditionalFormatting sqref="J52:J55">
    <cfRule type="cellIs" dxfId="48" priority="48" operator="equal">
      <formula>0</formula>
    </cfRule>
  </conditionalFormatting>
  <conditionalFormatting sqref="J52:J56">
    <cfRule type="cellIs" dxfId="47" priority="49" operator="greaterThan">
      <formula>250</formula>
    </cfRule>
    <cfRule type="cellIs" dxfId="46" priority="50" operator="lessThan">
      <formula>34</formula>
    </cfRule>
  </conditionalFormatting>
  <conditionalFormatting sqref="K64">
    <cfRule type="cellIs" dxfId="45" priority="47" operator="equal">
      <formula>0</formula>
    </cfRule>
  </conditionalFormatting>
  <conditionalFormatting sqref="D66 F66 H66">
    <cfRule type="cellIs" dxfId="44" priority="46" operator="equal">
      <formula>"Fail"</formula>
    </cfRule>
  </conditionalFormatting>
  <conditionalFormatting sqref="D65">
    <cfRule type="cellIs" dxfId="43" priority="44" operator="greaterThan">
      <formula>SUM($B$61*0.001)*12</formula>
    </cfRule>
    <cfRule type="cellIs" dxfId="42" priority="45" operator="equal">
      <formula>0</formula>
    </cfRule>
  </conditionalFormatting>
  <conditionalFormatting sqref="F65">
    <cfRule type="cellIs" dxfId="41" priority="42" operator="greaterThan">
      <formula>SUM($B$61*0.001)*3</formula>
    </cfRule>
    <cfRule type="cellIs" dxfId="40" priority="43" operator="equal">
      <formula>0</formula>
    </cfRule>
  </conditionalFormatting>
  <dataValidations disablePrompts="1" count="1">
    <dataValidation type="list" allowBlank="1" showInputMessage="1" showErrorMessage="1" sqref="B67 G67" xr:uid="{00000000-0002-0000-0100-000000000000}">
      <formula1>"Pass/Fail,Pass,Fail"</formula1>
    </dataValidation>
  </dataValidations>
  <printOptions horizontalCentered="1" verticalCentered="1"/>
  <pageMargins left="0.75" right="0.25" top="0.25" bottom="0.25" header="0.3" footer="0.3"/>
  <pageSetup scale="70" orientation="portrait" r:id="rId1"/>
  <headerFooter alignWithMargins="0"/>
  <ignoredErrors>
    <ignoredError sqref="B52:B55 B60 D60 F60 I60 F63 I63 D65 F65 B70:C73 E70:E73 B75:B76 G1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locked="0" defaultSize="0" print="0" autoFill="0" autoPict="0" macro="[0]!CommandButton1_Click">
                <anchor moveWithCells="1" sizeWithCells="1">
                  <from>
                    <xdr:col>9</xdr:col>
                    <xdr:colOff>9525</xdr:colOff>
                    <xdr:row>65</xdr:row>
                    <xdr:rowOff>9525</xdr:rowOff>
                  </from>
                  <to>
                    <xdr:col>9</xdr:col>
                    <xdr:colOff>828675</xdr:colOff>
                    <xdr:row>66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" id="{F8C9B195-26B8-4D9F-82B6-DED8761BD019}">
            <xm:f>Input!B42=""</xm:f>
            <x14:dxf>
              <fill>
                <patternFill>
                  <bgColor rgb="FFFF0000"/>
                </patternFill>
              </fill>
            </x14:dxf>
          </x14:cfRule>
          <xm:sqref>B42</xm:sqref>
        </x14:conditionalFormatting>
        <x14:conditionalFormatting xmlns:xm="http://schemas.microsoft.com/office/excel/2006/main">
          <x14:cfRule type="expression" priority="39" id="{378C5E8A-AF27-4DC0-AEBC-4F540974F0E3}">
            <xm:f>Input!$B$43=""</xm:f>
            <x14:dxf>
              <fill>
                <patternFill>
                  <bgColor rgb="FFFF0000"/>
                </patternFill>
              </fill>
            </x14:dxf>
          </x14:cfRule>
          <xm:sqref>B43</xm:sqref>
        </x14:conditionalFormatting>
        <x14:conditionalFormatting xmlns:xm="http://schemas.microsoft.com/office/excel/2006/main">
          <x14:cfRule type="expression" priority="38" id="{FAEBCC92-603B-4149-AC54-6903F6665CC6}">
            <xm:f>Input!$B$44=""</xm:f>
            <x14:dxf>
              <fill>
                <patternFill>
                  <bgColor rgb="FFFF0000"/>
                </patternFill>
              </fill>
            </x14:dxf>
          </x14:cfRule>
          <xm:sqref>B44</xm:sqref>
        </x14:conditionalFormatting>
        <x14:conditionalFormatting xmlns:xm="http://schemas.microsoft.com/office/excel/2006/main">
          <x14:cfRule type="expression" priority="37" id="{6532DA69-351C-4363-8678-7EA28F7FD308}">
            <xm:f>Input!$B$45=""</xm:f>
            <x14:dxf>
              <fill>
                <patternFill>
                  <bgColor rgb="FFFF0000"/>
                </patternFill>
              </fill>
            </x14:dxf>
          </x14:cfRule>
          <xm:sqref>B45</xm:sqref>
        </x14:conditionalFormatting>
        <x14:conditionalFormatting xmlns:xm="http://schemas.microsoft.com/office/excel/2006/main">
          <x14:cfRule type="expression" priority="36" id="{E2CD87D1-7F44-4C60-9C04-A5A4981D1B43}">
            <xm:f>Input!$C$42=""</xm:f>
            <x14:dxf>
              <fill>
                <patternFill>
                  <bgColor rgb="FFFF0000"/>
                </patternFill>
              </fill>
            </x14:dxf>
          </x14:cfRule>
          <xm:sqref>C42</xm:sqref>
        </x14:conditionalFormatting>
        <x14:conditionalFormatting xmlns:xm="http://schemas.microsoft.com/office/excel/2006/main">
          <x14:cfRule type="expression" priority="35" id="{1CDFEEDF-8642-45E8-AD94-B41EF736A56D}">
            <xm:f>Input!$C$43=""</xm:f>
            <x14:dxf>
              <fill>
                <patternFill>
                  <bgColor rgb="FFFF0000"/>
                </patternFill>
              </fill>
            </x14:dxf>
          </x14:cfRule>
          <xm:sqref>C43</xm:sqref>
        </x14:conditionalFormatting>
        <x14:conditionalFormatting xmlns:xm="http://schemas.microsoft.com/office/excel/2006/main">
          <x14:cfRule type="expression" priority="34" id="{B09BAF96-3354-4C20-BA83-F8AF674A602F}">
            <xm:f>Input!$C$44=""</xm:f>
            <x14:dxf>
              <fill>
                <patternFill>
                  <bgColor rgb="FFFF0000"/>
                </patternFill>
              </fill>
            </x14:dxf>
          </x14:cfRule>
          <xm:sqref>C44</xm:sqref>
        </x14:conditionalFormatting>
        <x14:conditionalFormatting xmlns:xm="http://schemas.microsoft.com/office/excel/2006/main">
          <x14:cfRule type="expression" priority="33" id="{4636321F-80B3-4AF5-B326-8639FEA762DF}">
            <xm:f>Input!$C$45=""</xm:f>
            <x14:dxf>
              <fill>
                <patternFill>
                  <bgColor rgb="FFFF0000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expression" priority="32" id="{5B00A06B-7D43-4CFF-83A2-AA292286E299}">
            <xm:f>Input!$D$42=""</xm:f>
            <x14:dxf>
              <fill>
                <patternFill>
                  <bgColor rgb="FFFF0000"/>
                </patternFill>
              </fill>
            </x14:dxf>
          </x14:cfRule>
          <xm:sqref>D42</xm:sqref>
        </x14:conditionalFormatting>
        <x14:conditionalFormatting xmlns:xm="http://schemas.microsoft.com/office/excel/2006/main">
          <x14:cfRule type="expression" priority="31" id="{4E21E9BC-02A2-40DE-89AA-81677B064959}">
            <xm:f>Input!$D$43=""</xm:f>
            <x14:dxf>
              <fill>
                <patternFill>
                  <bgColor rgb="FFFF0000"/>
                </patternFill>
              </fill>
            </x14:dxf>
          </x14:cfRule>
          <xm:sqref>D43</xm:sqref>
        </x14:conditionalFormatting>
        <x14:conditionalFormatting xmlns:xm="http://schemas.microsoft.com/office/excel/2006/main">
          <x14:cfRule type="expression" priority="30" id="{083B0328-3B4E-4174-AD20-2FE24EFBA22B}">
            <xm:f>Input!$D$44=""</xm:f>
            <x14:dxf>
              <fill>
                <patternFill>
                  <bgColor rgb="FFFF0000"/>
                </patternFill>
              </fill>
            </x14:dxf>
          </x14:cfRule>
          <xm:sqref>D44</xm:sqref>
        </x14:conditionalFormatting>
        <x14:conditionalFormatting xmlns:xm="http://schemas.microsoft.com/office/excel/2006/main">
          <x14:cfRule type="expression" priority="29" id="{D51EE675-4CBD-46D8-A100-0B3DD368CAE4}">
            <xm:f>Input!$D$45=""</xm:f>
            <x14:dxf>
              <fill>
                <patternFill>
                  <bgColor rgb="FFFF0000"/>
                </patternFill>
              </fill>
            </x14:dxf>
          </x14:cfRule>
          <xm:sqref>D45</xm:sqref>
        </x14:conditionalFormatting>
        <x14:conditionalFormatting xmlns:xm="http://schemas.microsoft.com/office/excel/2006/main">
          <x14:cfRule type="expression" priority="28" id="{0C02AF61-9968-44DF-BCFD-1E4A1EBC774C}">
            <xm:f>Input!$E$42=""</xm:f>
            <x14:dxf>
              <fill>
                <patternFill>
                  <bgColor rgb="FFFF0000"/>
                </patternFill>
              </fill>
            </x14:dxf>
          </x14:cfRule>
          <xm:sqref>E42</xm:sqref>
        </x14:conditionalFormatting>
        <x14:conditionalFormatting xmlns:xm="http://schemas.microsoft.com/office/excel/2006/main">
          <x14:cfRule type="expression" priority="27" id="{9C2B4EE7-66B8-42A2-8D35-547BBC6A2038}">
            <xm:f>Input!$E$43=""</xm:f>
            <x14:dxf>
              <fill>
                <patternFill>
                  <bgColor rgb="FFFF0000"/>
                </patternFill>
              </fill>
            </x14:dxf>
          </x14:cfRule>
          <xm:sqref>E43</xm:sqref>
        </x14:conditionalFormatting>
        <x14:conditionalFormatting xmlns:xm="http://schemas.microsoft.com/office/excel/2006/main">
          <x14:cfRule type="expression" priority="26" id="{47B15C10-85EB-41A2-8439-CD675040DC4B}">
            <xm:f>Input!$E$44=""</xm:f>
            <x14:dxf>
              <fill>
                <patternFill>
                  <bgColor rgb="FFFF0000"/>
                </patternFill>
              </fill>
            </x14:dxf>
          </x14:cfRule>
          <xm:sqref>E44</xm:sqref>
        </x14:conditionalFormatting>
        <x14:conditionalFormatting xmlns:xm="http://schemas.microsoft.com/office/excel/2006/main">
          <x14:cfRule type="expression" priority="25" id="{C757EB75-D4C8-47FC-8883-70A6625AF5B2}">
            <xm:f>Input!$E$45=""</xm:f>
            <x14:dxf>
              <fill>
                <patternFill>
                  <bgColor rgb="FFFF0000"/>
                </patternFill>
              </fill>
            </x14:dxf>
          </x14:cfRule>
          <xm:sqref>E45</xm:sqref>
        </x14:conditionalFormatting>
        <x14:conditionalFormatting xmlns:xm="http://schemas.microsoft.com/office/excel/2006/main">
          <x14:cfRule type="expression" priority="24" id="{BC0879BA-E7B0-4403-930C-1652243C3765}">
            <xm:f>Input!$F$42=""</xm:f>
            <x14:dxf>
              <fill>
                <patternFill>
                  <bgColor rgb="FFFF0000"/>
                </patternFill>
              </fill>
            </x14:dxf>
          </x14:cfRule>
          <xm:sqref>F42</xm:sqref>
        </x14:conditionalFormatting>
        <x14:conditionalFormatting xmlns:xm="http://schemas.microsoft.com/office/excel/2006/main">
          <x14:cfRule type="expression" priority="23" id="{C83F293C-025D-4808-B1FA-B9AD395D8C6D}">
            <xm:f>Input!$F$43=""</xm:f>
            <x14:dxf>
              <fill>
                <patternFill>
                  <bgColor rgb="FFFF0000"/>
                </patternFill>
              </fill>
            </x14:dxf>
          </x14:cfRule>
          <xm:sqref>F43</xm:sqref>
        </x14:conditionalFormatting>
        <x14:conditionalFormatting xmlns:xm="http://schemas.microsoft.com/office/excel/2006/main">
          <x14:cfRule type="expression" priority="22" id="{287AA283-C79A-48C0-9057-CB427148681F}">
            <xm:f>Input!$F$44=""</xm:f>
            <x14:dxf>
              <fill>
                <patternFill>
                  <bgColor rgb="FFFF0000"/>
                </patternFill>
              </fill>
            </x14:dxf>
          </x14:cfRule>
          <xm:sqref>F44</xm:sqref>
        </x14:conditionalFormatting>
        <x14:conditionalFormatting xmlns:xm="http://schemas.microsoft.com/office/excel/2006/main">
          <x14:cfRule type="expression" priority="21" id="{2DB9F60A-9C2A-4A80-B896-F980539D911E}">
            <xm:f>Input!$F$45=""</xm:f>
            <x14:dxf>
              <fill>
                <patternFill>
                  <bgColor rgb="FFFF0000"/>
                </patternFill>
              </fill>
            </x14:dxf>
          </x14:cfRule>
          <xm:sqref>F45</xm:sqref>
        </x14:conditionalFormatting>
        <x14:conditionalFormatting xmlns:xm="http://schemas.microsoft.com/office/excel/2006/main">
          <x14:cfRule type="expression" priority="20" id="{FBD44867-6A4A-410E-811E-A8D6412011CF}">
            <xm:f>Input!$G$42=""</xm:f>
            <x14:dxf>
              <fill>
                <patternFill>
                  <bgColor rgb="FFFF0000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19" id="{BE621961-A83B-4D0D-9BDA-4321DA1BB4E4}">
            <xm:f>Input!$G$43=""</xm:f>
            <x14:dxf>
              <fill>
                <patternFill>
                  <bgColor rgb="FFFF0000"/>
                </patternFill>
              </fill>
            </x14:dxf>
          </x14:cfRule>
          <xm:sqref>G43</xm:sqref>
        </x14:conditionalFormatting>
        <x14:conditionalFormatting xmlns:xm="http://schemas.microsoft.com/office/excel/2006/main">
          <x14:cfRule type="expression" priority="18" id="{8A5B2798-92CA-4075-B693-74A4EA52D740}">
            <xm:f>Input!$G$44=""</xm:f>
            <x14:dxf>
              <fill>
                <patternFill>
                  <bgColor rgb="FFFF0000"/>
                </patternFill>
              </fill>
            </x14:dxf>
          </x14:cfRule>
          <xm:sqref>G44</xm:sqref>
        </x14:conditionalFormatting>
        <x14:conditionalFormatting xmlns:xm="http://schemas.microsoft.com/office/excel/2006/main">
          <x14:cfRule type="expression" priority="17" id="{9868C39F-3A1A-4E05-B3E2-FE327027D20D}">
            <xm:f>Input!$G$45=""</xm:f>
            <x14:dxf>
              <fill>
                <patternFill>
                  <bgColor rgb="FFFF0000"/>
                </patternFill>
              </fill>
            </x14:dxf>
          </x14:cfRule>
          <xm:sqref>G45</xm:sqref>
        </x14:conditionalFormatting>
        <x14:conditionalFormatting xmlns:xm="http://schemas.microsoft.com/office/excel/2006/main">
          <x14:cfRule type="expression" priority="16" id="{3F6E4ACB-642B-4693-982A-BD428AEC043F}">
            <xm:f>Input!$H$42=""</xm:f>
            <x14:dxf>
              <fill>
                <patternFill>
                  <bgColor rgb="FFFF0000"/>
                </patternFill>
              </fill>
            </x14:dxf>
          </x14:cfRule>
          <xm:sqref>H42</xm:sqref>
        </x14:conditionalFormatting>
        <x14:conditionalFormatting xmlns:xm="http://schemas.microsoft.com/office/excel/2006/main">
          <x14:cfRule type="expression" priority="15" id="{BA14A5DA-8B12-4DCA-B5F0-6F7774580D8F}">
            <xm:f>Input!$H$43=""</xm:f>
            <x14:dxf>
              <fill>
                <patternFill>
                  <bgColor rgb="FFFF0000"/>
                </patternFill>
              </fill>
            </x14:dxf>
          </x14:cfRule>
          <xm:sqref>H43</xm:sqref>
        </x14:conditionalFormatting>
        <x14:conditionalFormatting xmlns:xm="http://schemas.microsoft.com/office/excel/2006/main">
          <x14:cfRule type="expression" priority="14" id="{C72C0BE6-3D73-464B-8140-44D5639BECD4}">
            <xm:f>Input!$H$44=""</xm:f>
            <x14:dxf>
              <fill>
                <patternFill>
                  <bgColor rgb="FFFF0000"/>
                </patternFill>
              </fill>
            </x14:dxf>
          </x14:cfRule>
          <xm:sqref>H44</xm:sqref>
        </x14:conditionalFormatting>
        <x14:conditionalFormatting xmlns:xm="http://schemas.microsoft.com/office/excel/2006/main">
          <x14:cfRule type="expression" priority="13" id="{4DB45767-06F7-4670-B834-32D8922EF4C4}">
            <xm:f>Input!$H$45=""</xm:f>
            <x14:dxf>
              <fill>
                <patternFill>
                  <bgColor rgb="FFFF0000"/>
                </patternFill>
              </fill>
            </x14:dxf>
          </x14:cfRule>
          <xm:sqref>H45</xm:sqref>
        </x14:conditionalFormatting>
        <x14:conditionalFormatting xmlns:xm="http://schemas.microsoft.com/office/excel/2006/main">
          <x14:cfRule type="expression" priority="12" id="{1694792B-902D-4401-9C67-388A5E82A9E2}">
            <xm:f>Input!$I$42=""</xm:f>
            <x14:dxf>
              <fill>
                <patternFill>
                  <bgColor rgb="FFFF0000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11" id="{B0C1FAD6-42E9-41CC-9ABA-CC0C64B86696}">
            <xm:f>Input!$I$43=""</xm:f>
            <x14:dxf>
              <fill>
                <patternFill>
                  <bgColor rgb="FFFF0000"/>
                </patternFill>
              </fill>
            </x14:dxf>
          </x14:cfRule>
          <xm:sqref>I43</xm:sqref>
        </x14:conditionalFormatting>
        <x14:conditionalFormatting xmlns:xm="http://schemas.microsoft.com/office/excel/2006/main">
          <x14:cfRule type="expression" priority="10" id="{516ED9E6-9CB6-4642-82EC-DAA8C79338FF}">
            <xm:f>Input!$I$44=""</xm:f>
            <x14:dxf>
              <fill>
                <patternFill>
                  <bgColor rgb="FFFF0000"/>
                </patternFill>
              </fill>
            </x14:dxf>
          </x14:cfRule>
          <xm:sqref>I44</xm:sqref>
        </x14:conditionalFormatting>
        <x14:conditionalFormatting xmlns:xm="http://schemas.microsoft.com/office/excel/2006/main">
          <x14:cfRule type="expression" priority="9" id="{8D497E14-8EED-4B96-A057-1F09101CEE2D}">
            <xm:f>Input!$I$45=""</xm:f>
            <x14:dxf>
              <fill>
                <patternFill>
                  <bgColor rgb="FFFF0000"/>
                </patternFill>
              </fill>
            </x14:dxf>
          </x14:cfRule>
          <xm:sqref>I45</xm:sqref>
        </x14:conditionalFormatting>
        <x14:conditionalFormatting xmlns:xm="http://schemas.microsoft.com/office/excel/2006/main">
          <x14:cfRule type="expression" priority="8" id="{E377597B-1AB4-4A54-AAFE-01455CBC1264}">
            <xm:f>Input!$J$42=""</xm:f>
            <x14:dxf>
              <fill>
                <patternFill>
                  <bgColor rgb="FFFF0000"/>
                </patternFill>
              </fill>
            </x14:dxf>
          </x14:cfRule>
          <xm:sqref>J42</xm:sqref>
        </x14:conditionalFormatting>
        <x14:conditionalFormatting xmlns:xm="http://schemas.microsoft.com/office/excel/2006/main">
          <x14:cfRule type="expression" priority="7" id="{F69CF98C-B37F-47B3-B900-C3680AEE3784}">
            <xm:f>Input!$J$43=""</xm:f>
            <x14:dxf>
              <fill>
                <patternFill>
                  <bgColor rgb="FFFF0000"/>
                </patternFill>
              </fill>
            </x14:dxf>
          </x14:cfRule>
          <xm:sqref>J43</xm:sqref>
        </x14:conditionalFormatting>
        <x14:conditionalFormatting xmlns:xm="http://schemas.microsoft.com/office/excel/2006/main">
          <x14:cfRule type="expression" priority="6" id="{49130955-6A48-4EAC-98F0-348F09B1F6BB}">
            <xm:f>Input!$J$44=""</xm:f>
            <x14:dxf>
              <fill>
                <patternFill>
                  <bgColor rgb="FFFF0000"/>
                </patternFill>
              </fill>
            </x14:dxf>
          </x14:cfRule>
          <xm:sqref>J44</xm:sqref>
        </x14:conditionalFormatting>
        <x14:conditionalFormatting xmlns:xm="http://schemas.microsoft.com/office/excel/2006/main">
          <x14:cfRule type="expression" priority="5" id="{A3D0DACC-A180-4EC5-B24D-ED426CF0A1C2}">
            <xm:f>Input!$J$45=""</xm:f>
            <x14:dxf>
              <fill>
                <patternFill>
                  <bgColor rgb="FFFF0000"/>
                </patternFill>
              </fill>
            </x14:dxf>
          </x14:cfRule>
          <xm:sqref>J45</xm:sqref>
        </x14:conditionalFormatting>
        <x14:conditionalFormatting xmlns:xm="http://schemas.microsoft.com/office/excel/2006/main">
          <x14:cfRule type="expression" priority="4" id="{EEECE939-659C-4336-B128-60A6BE509E5F}">
            <xm:f>Input!$K$42=""</xm:f>
            <x14:dxf>
              <fill>
                <patternFill>
                  <bgColor rgb="FFFF0000"/>
                </patternFill>
              </fill>
            </x14:dxf>
          </x14:cfRule>
          <xm:sqref>K42</xm:sqref>
        </x14:conditionalFormatting>
        <x14:conditionalFormatting xmlns:xm="http://schemas.microsoft.com/office/excel/2006/main">
          <x14:cfRule type="expression" priority="3" id="{4E258FCC-2D43-4600-847B-31ED3F2A2D90}">
            <xm:f>Input!$K$43=""</xm:f>
            <x14:dxf>
              <fill>
                <patternFill>
                  <bgColor rgb="FFFF0000"/>
                </patternFill>
              </fill>
            </x14:dxf>
          </x14:cfRule>
          <xm:sqref>K43</xm:sqref>
        </x14:conditionalFormatting>
        <x14:conditionalFormatting xmlns:xm="http://schemas.microsoft.com/office/excel/2006/main">
          <x14:cfRule type="expression" priority="2" id="{0088907E-2AE5-4762-B865-720BE3D197CE}">
            <xm:f>Input!$K$44=""</xm:f>
            <x14:dxf>
              <fill>
                <patternFill>
                  <bgColor rgb="FFFF0000"/>
                </patternFill>
              </fill>
            </x14:dxf>
          </x14:cfRule>
          <xm:sqref>K44</xm:sqref>
        </x14:conditionalFormatting>
        <x14:conditionalFormatting xmlns:xm="http://schemas.microsoft.com/office/excel/2006/main">
          <x14:cfRule type="expression" priority="1" id="{4ABB69CB-780B-403C-A246-A61FE43F1BCB}">
            <xm:f>Input!$K$45=""</xm:f>
            <x14:dxf>
              <fill>
                <patternFill>
                  <bgColor rgb="FFFF0000"/>
                </patternFill>
              </fill>
            </x14:dxf>
          </x14:cfRule>
          <xm:sqref>K45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Calculated</vt:lpstr>
    </vt:vector>
  </TitlesOfParts>
  <Company>METRON GAS MEASUREMENT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Wasp FontWare</dc:creator>
  <cp:lastModifiedBy>Eli Wood</cp:lastModifiedBy>
  <cp:lastPrinted>2023-02-13T17:00:57Z</cp:lastPrinted>
  <dcterms:created xsi:type="dcterms:W3CDTF">2000-11-13T21:26:49Z</dcterms:created>
  <dcterms:modified xsi:type="dcterms:W3CDTF">2023-06-29T20:06:33Z</dcterms:modified>
</cp:coreProperties>
</file>